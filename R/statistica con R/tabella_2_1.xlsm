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20" yWindow="492" windowWidth="14076" windowHeight="4716"/>
  </bookViews>
  <sheets>
    <sheet name="TABELLA_2_1" sheetId="1" r:id="rId1"/>
  </sheets>
  <definedNames>
    <definedName name="_xlnm._FilterDatabase" localSheetId="0" hidden="1">TABELLA_2_1!$C$2:$C$21</definedName>
    <definedName name="_xlnm.Criteria" localSheetId="0">TABELLA_2_1!$C$2:$C$21</definedName>
    <definedName name="_xlnm.Extract" localSheetId="0">TABELLA_2_1!#REF!</definedName>
  </definedNames>
  <calcPr calcId="125725" calcMode="manual"/>
</workbook>
</file>

<file path=xl/calcChain.xml><?xml version="1.0" encoding="utf-8"?>
<calcChain xmlns="http://schemas.openxmlformats.org/spreadsheetml/2006/main">
  <c r="G5" i="1"/>
  <c r="G6"/>
  <c r="G7"/>
  <c r="G8"/>
  <c r="G9"/>
  <c r="G10"/>
  <c r="G11"/>
  <c r="G12"/>
  <c r="G13"/>
  <c r="G14"/>
  <c r="G15"/>
  <c r="G16"/>
  <c r="G17"/>
  <c r="G18"/>
  <c r="G19"/>
  <c r="G20"/>
  <c r="G21"/>
  <c r="G22"/>
  <c r="G23"/>
  <c r="G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4"/>
</calcChain>
</file>

<file path=xl/sharedStrings.xml><?xml version="1.0" encoding="utf-8"?>
<sst xmlns="http://schemas.openxmlformats.org/spreadsheetml/2006/main" count="65" uniqueCount="57">
  <si>
    <r>
      <rPr>
        <sz val="11.5"/>
        <rFont val="Times New Roman"/>
        <family val="1"/>
      </rPr>
      <t>u</t>
    </r>
  </si>
  <si>
    <r>
      <rPr>
        <sz val="11.5"/>
        <rFont val="Times New Roman"/>
        <family val="1"/>
      </rPr>
      <t>unità</t>
    </r>
  </si>
  <si>
    <r>
      <rPr>
        <sz val="11.5"/>
        <rFont val="Times New Roman"/>
        <family val="1"/>
      </rPr>
      <t>stato</t>
    </r>
  </si>
  <si>
    <r>
      <rPr>
        <sz val="11.5"/>
        <rFont val="Times New Roman"/>
        <family val="1"/>
      </rPr>
      <t>grado di</t>
    </r>
  </si>
  <si>
    <r>
      <rPr>
        <sz val="11.5"/>
        <rFont val="Times New Roman"/>
        <family val="1"/>
      </rPr>
      <t>statistica</t>
    </r>
  </si>
  <si>
    <r>
      <rPr>
        <sz val="11.5"/>
        <rFont val="Times New Roman"/>
        <family val="1"/>
      </rPr>
      <t>civile</t>
    </r>
  </si>
  <si>
    <r>
      <rPr>
        <sz val="11.5"/>
        <rFont val="Times New Roman"/>
        <family val="1"/>
      </rPr>
      <t>scolarità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</si>
  <si>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</si>
  <si>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L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</si>
  <si>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</si>
  <si>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V</t>
    </r>
  </si>
  <si>
    <r>
      <rPr>
        <sz val="11.5"/>
        <rFont val="Times New Roman"/>
        <family val="1"/>
      </rPr>
      <t>A</t>
    </r>
  </si>
  <si>
    <r>
      <rPr>
        <sz val="11.5"/>
        <rFont val="Times New Roman"/>
        <family val="1"/>
      </rPr>
      <t>V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</si>
  <si>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</si>
  <si>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L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</si>
  <si>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</si>
  <si>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</si>
  <si>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</si>
  <si>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</si>
  <si>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</si>
  <si>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V</t>
    </r>
  </si>
  <si>
    <r>
      <rPr>
        <sz val="11.5"/>
        <rFont val="Times New Roman"/>
        <family val="1"/>
      </rPr>
      <t>L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</si>
  <si>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</si>
  <si>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</si>
  <si>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</si>
  <si>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</si>
  <si>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A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</si>
  <si>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</si>
  <si>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</si>
  <si>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</si>
  <si>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</si>
  <si>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N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</si>
  <si>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</si>
  <si>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</si>
  <si>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L</t>
    </r>
  </si>
  <si>
    <r>
      <rPr>
        <sz val="11.5"/>
        <rFont val="Times New Roman"/>
        <family val="1"/>
      </rPr>
      <t>V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</si>
  <si>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</si>
  <si>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</si>
  <si>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S</t>
    </r>
  </si>
  <si>
    <r>
      <rPr>
        <sz val="11.5"/>
        <rFont val="Times New Roman"/>
        <family val="1"/>
      </rPr>
      <t>C</t>
    </r>
  </si>
  <si>
    <r>
      <rPr>
        <sz val="11.5"/>
        <rFont val="Times New Roman"/>
        <family val="1"/>
      </rPr>
      <t>S</t>
    </r>
  </si>
  <si>
    <t>peso</t>
  </si>
  <si>
    <t>in kg</t>
  </si>
  <si>
    <t xml:space="preserve">numero di </t>
  </si>
  <si>
    <t xml:space="preserve">figli </t>
  </si>
  <si>
    <t>O</t>
  </si>
  <si>
    <t>x</t>
  </si>
  <si>
    <t>y</t>
  </si>
  <si>
    <t>c</t>
  </si>
  <si>
    <t>n</t>
  </si>
  <si>
    <t>v</t>
  </si>
  <si>
    <t>s</t>
  </si>
  <si>
    <t>a</t>
  </si>
  <si>
    <t>o</t>
  </si>
  <si>
    <t>l</t>
  </si>
  <si>
    <t>z</t>
  </si>
  <si>
    <t>w</t>
  </si>
</sst>
</file>

<file path=xl/styles.xml><?xml version="1.0" encoding="utf-8"?>
<styleSheet xmlns="http://schemas.openxmlformats.org/spreadsheetml/2006/main">
  <fonts count="2">
    <font>
      <sz val="11"/>
      <color rgb="FF000000"/>
      <name val="Calibri"/>
      <family val="2"/>
    </font>
    <font>
      <sz val="11.5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1" fontId="1" fillId="0" borderId="1" xfId="0" applyNumberFormat="1" applyFont="1" applyBorder="1" applyAlignment="1">
      <alignment horizontal="left" vertical="top" wrapText="1"/>
    </xf>
    <xf numFmtId="0" fontId="1" fillId="0" borderId="2" xfId="0" applyFont="1" applyBorder="1" applyAlignment="1">
      <alignment vertical="center" wrapText="1"/>
    </xf>
    <xf numFmtId="2" fontId="0" fillId="0" borderId="1" xfId="0" applyNumberFormat="1" applyBorder="1" applyAlignment="1">
      <alignment horizontal="left" vertical="top" wrapText="1"/>
    </xf>
    <xf numFmtId="2" fontId="1" fillId="0" borderId="3" xfId="0" applyNumberFormat="1" applyFont="1" applyBorder="1" applyAlignment="1">
      <alignment vertical="center" wrapText="1"/>
    </xf>
    <xf numFmtId="2" fontId="1" fillId="0" borderId="1" xfId="0" applyNumberFormat="1" applyFont="1" applyBorder="1" applyAlignment="1">
      <alignment horizontal="left" vertical="top" wrapText="1"/>
    </xf>
    <xf numFmtId="2" fontId="0" fillId="0" borderId="0" xfId="0" applyNumberFormat="1"/>
    <xf numFmtId="0" fontId="1" fillId="0" borderId="0" xfId="0" applyFont="1" applyFill="1" applyBorder="1" applyAlignment="1">
      <alignment horizontal="center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3"/>
  <sheetViews>
    <sheetView tabSelected="1" workbookViewId="0">
      <selection activeCell="E2" sqref="E2:E21"/>
    </sheetView>
  </sheetViews>
  <sheetFormatPr defaultRowHeight="14.4"/>
  <cols>
    <col min="1" max="1" width="8.109375" bestFit="1" customWidth="1"/>
    <col min="2" max="2" width="5.21875" bestFit="1" customWidth="1"/>
    <col min="3" max="3" width="7.88671875" bestFit="1" customWidth="1"/>
    <col min="4" max="4" width="9.33203125" bestFit="1" customWidth="1"/>
    <col min="5" max="5" width="5.5546875" style="9" bestFit="1" customWidth="1"/>
    <col min="6" max="6" width="4" style="11" customWidth="1"/>
    <col min="7" max="7" width="4.5546875" style="11" customWidth="1"/>
    <col min="8" max="8" width="4" customWidth="1"/>
    <col min="9" max="9" width="5.44140625" customWidth="1"/>
    <col min="11" max="11" width="7.109375" customWidth="1"/>
  </cols>
  <sheetData>
    <row r="1" spans="1:25" ht="15">
      <c r="A1" s="1" t="s">
        <v>0</v>
      </c>
      <c r="B1" s="3" t="s">
        <v>46</v>
      </c>
      <c r="C1" s="2" t="s">
        <v>47</v>
      </c>
      <c r="D1" s="2" t="s">
        <v>55</v>
      </c>
      <c r="E1" s="6" t="s">
        <v>56</v>
      </c>
    </row>
    <row r="2" spans="1:25" ht="15" customHeight="1">
      <c r="A2" s="4">
        <v>1</v>
      </c>
      <c r="B2" s="1" t="s">
        <v>7</v>
      </c>
      <c r="C2" s="1" t="s">
        <v>8</v>
      </c>
      <c r="D2" s="4">
        <v>0</v>
      </c>
      <c r="E2" s="8">
        <v>72.5</v>
      </c>
    </row>
    <row r="3" spans="1:25" ht="15" customHeight="1">
      <c r="A3" s="4">
        <v>2</v>
      </c>
      <c r="B3" s="1" t="s">
        <v>9</v>
      </c>
      <c r="C3" s="4" t="s">
        <v>45</v>
      </c>
      <c r="D3" s="4">
        <v>1</v>
      </c>
      <c r="E3" s="8">
        <v>54.28</v>
      </c>
      <c r="F3" s="10" t="s">
        <v>46</v>
      </c>
      <c r="G3" s="10" t="s">
        <v>47</v>
      </c>
      <c r="H3" t="s">
        <v>49</v>
      </c>
      <c r="I3" t="s">
        <v>52</v>
      </c>
    </row>
    <row r="4" spans="1:25" ht="15">
      <c r="A4" s="4">
        <v>3</v>
      </c>
      <c r="B4" s="1" t="s">
        <v>10</v>
      </c>
      <c r="C4" s="1" t="s">
        <v>11</v>
      </c>
      <c r="D4" s="4">
        <v>3</v>
      </c>
      <c r="E4" s="8">
        <v>50.02</v>
      </c>
      <c r="F4" s="11">
        <f>IF(B2="n",1,IF(B2="C",2,IF(B2="V",3,IF(B2="S",4,0))))</f>
        <v>1</v>
      </c>
      <c r="G4" s="11">
        <f>IF(C2="A",1,IF(C2="O",2,IF(C2="S",3,IF(C2="L",4,0))))</f>
        <v>4</v>
      </c>
      <c r="H4" t="s">
        <v>48</v>
      </c>
      <c r="I4" t="s">
        <v>53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ht="15">
      <c r="A5" s="4">
        <v>4</v>
      </c>
      <c r="B5" s="1" t="s">
        <v>12</v>
      </c>
      <c r="C5" s="4" t="s">
        <v>45</v>
      </c>
      <c r="D5" s="4">
        <v>4</v>
      </c>
      <c r="E5" s="8">
        <v>88.88</v>
      </c>
      <c r="F5" s="11">
        <f t="shared" ref="F5:F23" si="0">IF(B3="n",1,IF(B3="C",2,IF(B3="V",3,IF(B3="S",4,0))))</f>
        <v>4</v>
      </c>
      <c r="G5" s="11">
        <f t="shared" ref="G5:G23" si="1">IF(C3="A",1,IF(C3="O",2,IF(C3="S",3,IF(C3="L",4,0))))</f>
        <v>2</v>
      </c>
      <c r="H5" t="s">
        <v>50</v>
      </c>
      <c r="I5" t="s">
        <v>51</v>
      </c>
    </row>
    <row r="6" spans="1:25" ht="15">
      <c r="A6" s="4">
        <v>5</v>
      </c>
      <c r="B6" s="1" t="s">
        <v>13</v>
      </c>
      <c r="C6" s="1" t="s">
        <v>14</v>
      </c>
      <c r="D6" s="4">
        <v>1</v>
      </c>
      <c r="E6" s="8">
        <v>62.3</v>
      </c>
      <c r="F6" s="11">
        <f t="shared" si="0"/>
        <v>3</v>
      </c>
      <c r="G6" s="11">
        <f t="shared" si="1"/>
        <v>1</v>
      </c>
      <c r="H6" t="s">
        <v>51</v>
      </c>
      <c r="I6" t="s">
        <v>54</v>
      </c>
    </row>
    <row r="7" spans="1:25" ht="15">
      <c r="A7" s="4">
        <v>6</v>
      </c>
      <c r="B7" s="1" t="s">
        <v>15</v>
      </c>
      <c r="C7" s="1" t="s">
        <v>16</v>
      </c>
      <c r="D7" s="4">
        <v>1</v>
      </c>
      <c r="E7" s="8">
        <v>45.21</v>
      </c>
      <c r="F7" s="11">
        <f t="shared" si="0"/>
        <v>3</v>
      </c>
      <c r="G7" s="11">
        <f t="shared" si="1"/>
        <v>2</v>
      </c>
    </row>
    <row r="8" spans="1:25" ht="15">
      <c r="A8" s="4">
        <v>7</v>
      </c>
      <c r="B8" s="1" t="s">
        <v>17</v>
      </c>
      <c r="C8" s="1" t="s">
        <v>18</v>
      </c>
      <c r="D8" s="4">
        <v>0</v>
      </c>
      <c r="E8" s="8">
        <v>57.5</v>
      </c>
      <c r="F8" s="11">
        <f t="shared" si="0"/>
        <v>2</v>
      </c>
      <c r="G8" s="11">
        <f t="shared" si="1"/>
        <v>4</v>
      </c>
    </row>
    <row r="9" spans="1:25" ht="15">
      <c r="A9" s="4">
        <v>8</v>
      </c>
      <c r="B9" s="1" t="s">
        <v>19</v>
      </c>
      <c r="C9" s="4" t="s">
        <v>45</v>
      </c>
      <c r="D9" s="4">
        <v>2</v>
      </c>
      <c r="E9" s="8">
        <v>78.400000000000006</v>
      </c>
      <c r="F9" s="11">
        <f t="shared" si="0"/>
        <v>1</v>
      </c>
      <c r="G9" s="11">
        <f t="shared" si="1"/>
        <v>3</v>
      </c>
    </row>
    <row r="10" spans="1:25" ht="15">
      <c r="A10" s="4">
        <v>9</v>
      </c>
      <c r="B10" s="1" t="s">
        <v>20</v>
      </c>
      <c r="C10" s="1" t="s">
        <v>21</v>
      </c>
      <c r="D10" s="4">
        <v>3</v>
      </c>
      <c r="E10" s="8">
        <v>75.13</v>
      </c>
      <c r="F10" s="11">
        <f t="shared" si="0"/>
        <v>2</v>
      </c>
      <c r="G10" s="11">
        <f t="shared" si="1"/>
        <v>3</v>
      </c>
    </row>
    <row r="11" spans="1:25" ht="15">
      <c r="A11" s="4">
        <v>10</v>
      </c>
      <c r="B11" s="1" t="s">
        <v>22</v>
      </c>
      <c r="C11" s="4" t="s">
        <v>45</v>
      </c>
      <c r="D11" s="4">
        <v>0</v>
      </c>
      <c r="E11" s="8">
        <v>58</v>
      </c>
      <c r="F11" s="11">
        <f t="shared" si="0"/>
        <v>2</v>
      </c>
      <c r="G11" s="11">
        <f t="shared" si="1"/>
        <v>2</v>
      </c>
    </row>
    <row r="12" spans="1:25" ht="15">
      <c r="A12" s="4">
        <v>11</v>
      </c>
      <c r="B12" s="1" t="s">
        <v>23</v>
      </c>
      <c r="C12" s="1" t="s">
        <v>24</v>
      </c>
      <c r="D12" s="4">
        <v>1</v>
      </c>
      <c r="E12" s="8">
        <v>53.7</v>
      </c>
      <c r="F12" s="11">
        <f t="shared" si="0"/>
        <v>3</v>
      </c>
      <c r="G12" s="11">
        <f t="shared" si="1"/>
        <v>4</v>
      </c>
    </row>
    <row r="13" spans="1:25" ht="15">
      <c r="A13" s="4">
        <v>12</v>
      </c>
      <c r="B13" s="1" t="s">
        <v>25</v>
      </c>
      <c r="C13" s="1" t="s">
        <v>26</v>
      </c>
      <c r="D13" s="1">
        <v>0</v>
      </c>
      <c r="E13" s="8">
        <v>91.29</v>
      </c>
      <c r="F13" s="11">
        <f t="shared" si="0"/>
        <v>1</v>
      </c>
      <c r="G13" s="11">
        <f t="shared" si="1"/>
        <v>2</v>
      </c>
    </row>
    <row r="14" spans="1:25" ht="15">
      <c r="A14" s="4">
        <v>13</v>
      </c>
      <c r="B14" s="1" t="s">
        <v>27</v>
      </c>
      <c r="C14" s="1" t="s">
        <v>28</v>
      </c>
      <c r="D14" s="4">
        <v>1</v>
      </c>
      <c r="E14" s="8">
        <v>74.7</v>
      </c>
      <c r="F14" s="11">
        <f t="shared" si="0"/>
        <v>1</v>
      </c>
      <c r="G14" s="11">
        <f t="shared" si="1"/>
        <v>3</v>
      </c>
    </row>
    <row r="15" spans="1:25" ht="15">
      <c r="A15" s="4">
        <v>14</v>
      </c>
      <c r="B15" s="1" t="s">
        <v>29</v>
      </c>
      <c r="C15" s="1" t="s">
        <v>30</v>
      </c>
      <c r="D15" s="4">
        <v>4</v>
      </c>
      <c r="E15" s="8">
        <v>41.22</v>
      </c>
      <c r="F15" s="11">
        <f t="shared" si="0"/>
        <v>1</v>
      </c>
      <c r="G15" s="11">
        <f t="shared" si="1"/>
        <v>1</v>
      </c>
    </row>
    <row r="16" spans="1:25" ht="15">
      <c r="A16" s="4">
        <v>15</v>
      </c>
      <c r="B16" s="1" t="s">
        <v>31</v>
      </c>
      <c r="C16" s="1" t="s">
        <v>32</v>
      </c>
      <c r="D16" s="4">
        <v>3</v>
      </c>
      <c r="E16" s="8">
        <v>65.2</v>
      </c>
      <c r="F16" s="11">
        <f t="shared" si="0"/>
        <v>4</v>
      </c>
      <c r="G16" s="11">
        <f t="shared" si="1"/>
        <v>3</v>
      </c>
    </row>
    <row r="17" spans="1:7" ht="15">
      <c r="A17" s="4">
        <v>16</v>
      </c>
      <c r="B17" s="1" t="s">
        <v>33</v>
      </c>
      <c r="C17" s="1" t="s">
        <v>34</v>
      </c>
      <c r="D17" s="4">
        <v>0</v>
      </c>
      <c r="E17" s="8">
        <v>63.58</v>
      </c>
      <c r="F17" s="11">
        <f t="shared" si="0"/>
        <v>2</v>
      </c>
      <c r="G17" s="11">
        <f t="shared" si="1"/>
        <v>3</v>
      </c>
    </row>
    <row r="18" spans="1:7" ht="15">
      <c r="A18" s="4">
        <v>17</v>
      </c>
      <c r="B18" s="1" t="s">
        <v>35</v>
      </c>
      <c r="C18" s="4" t="s">
        <v>45</v>
      </c>
      <c r="D18" s="4">
        <v>2</v>
      </c>
      <c r="E18" s="8">
        <v>48.27</v>
      </c>
      <c r="F18" s="11">
        <f t="shared" si="0"/>
        <v>1</v>
      </c>
      <c r="G18" s="11">
        <f t="shared" si="1"/>
        <v>3</v>
      </c>
    </row>
    <row r="19" spans="1:7" ht="15">
      <c r="A19" s="4">
        <v>18</v>
      </c>
      <c r="B19" s="1" t="s">
        <v>36</v>
      </c>
      <c r="C19" s="4" t="s">
        <v>45</v>
      </c>
      <c r="D19" s="4">
        <v>2</v>
      </c>
      <c r="E19" s="8">
        <v>52.52</v>
      </c>
      <c r="F19" s="11">
        <f t="shared" si="0"/>
        <v>2</v>
      </c>
      <c r="G19" s="11">
        <f t="shared" si="1"/>
        <v>4</v>
      </c>
    </row>
    <row r="20" spans="1:7" ht="15">
      <c r="A20" s="4">
        <v>19</v>
      </c>
      <c r="B20" s="1" t="s">
        <v>37</v>
      </c>
      <c r="C20" s="1" t="s">
        <v>38</v>
      </c>
      <c r="D20" s="4">
        <v>4</v>
      </c>
      <c r="E20" s="8">
        <v>69.5</v>
      </c>
      <c r="F20" s="11">
        <f t="shared" si="0"/>
        <v>3</v>
      </c>
      <c r="G20" s="11">
        <f t="shared" si="1"/>
        <v>2</v>
      </c>
    </row>
    <row r="21" spans="1:7" ht="15">
      <c r="A21" s="4">
        <v>20</v>
      </c>
      <c r="B21" s="1" t="s">
        <v>39</v>
      </c>
      <c r="C21" s="1" t="s">
        <v>40</v>
      </c>
      <c r="D21" s="4">
        <v>4</v>
      </c>
      <c r="E21" s="8">
        <v>85.98</v>
      </c>
      <c r="F21" s="11">
        <f t="shared" si="0"/>
        <v>4</v>
      </c>
      <c r="G21" s="11">
        <f t="shared" si="1"/>
        <v>2</v>
      </c>
    </row>
    <row r="22" spans="1:7" ht="15">
      <c r="A22" s="3" t="s">
        <v>1</v>
      </c>
      <c r="B22" s="3" t="s">
        <v>2</v>
      </c>
      <c r="C22" s="3" t="s">
        <v>3</v>
      </c>
      <c r="D22" s="5" t="s">
        <v>43</v>
      </c>
      <c r="E22" s="7" t="s">
        <v>41</v>
      </c>
      <c r="F22" s="11">
        <f t="shared" si="0"/>
        <v>2</v>
      </c>
      <c r="G22" s="11">
        <f t="shared" si="1"/>
        <v>3</v>
      </c>
    </row>
    <row r="23" spans="1:7" ht="15">
      <c r="A23" s="3" t="s">
        <v>4</v>
      </c>
      <c r="B23" s="3" t="s">
        <v>5</v>
      </c>
      <c r="C23" s="3" t="s">
        <v>6</v>
      </c>
      <c r="D23" s="5" t="s">
        <v>44</v>
      </c>
      <c r="E23" s="7" t="s">
        <v>42</v>
      </c>
      <c r="F23" s="11">
        <f t="shared" si="0"/>
        <v>2</v>
      </c>
      <c r="G23" s="11">
        <f t="shared" si="1"/>
        <v>3</v>
      </c>
    </row>
  </sheetData>
  <pageMargins left="1.25" right="1.25" top="1" bottom="0.79166666666666696" header="0.25" footer="0.25"/>
  <legacyDrawing r:id="rId1"/>
  <controls>
    <control shapeId="1026" r:id="rId2" name="cmdCopyToClipboard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TABELLA_2_1</vt:lpstr>
      <vt:lpstr>TABELLA_2_1!Criteria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DELLA LUNGA GIOVANNI (MPS CS-200)</dc:creator>
  <cp:lastModifiedBy>T004314</cp:lastModifiedBy>
  <dcterms:created xsi:type="dcterms:W3CDTF">2015-08-18T13:24:38Z</dcterms:created>
  <dcterms:modified xsi:type="dcterms:W3CDTF">2015-08-18T15:25:35Z</dcterms:modified>
</cp:coreProperties>
</file>