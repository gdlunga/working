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5300" windowHeight="8736"/>
  </bookViews>
  <sheets>
    <sheet name="MAIN" sheetId="4" r:id="rId1"/>
    <sheet name="Sheet1" sheetId="5" r:id="rId2"/>
  </sheets>
  <functionGroups/>
  <externalReferences>
    <externalReference r:id="rId3"/>
  </externalReferences>
  <definedNames>
    <definedName name="calculate">MAIN!$C$4</definedName>
  </definedNames>
  <calcPr calcId="125725" iterate="1" iterateCount="1" calcOnSave="0"/>
</workbook>
</file>

<file path=xl/calcChain.xml><?xml version="1.0" encoding="utf-8"?>
<calcChain xmlns="http://schemas.openxmlformats.org/spreadsheetml/2006/main">
  <c r="L7" i="4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6"/>
  <c r="M14"/>
  <c r="M44"/>
  <c r="M18"/>
  <c r="M34"/>
  <c r="M33"/>
  <c r="M28"/>
  <c r="M42"/>
  <c r="H6"/>
  <c r="M17"/>
  <c r="M13"/>
  <c r="M20"/>
  <c r="M8"/>
  <c r="M37"/>
  <c r="M38"/>
  <c r="M10"/>
  <c r="M29"/>
  <c r="M12"/>
  <c r="M27"/>
  <c r="M39"/>
  <c r="M35"/>
  <c r="M30"/>
  <c r="M26"/>
  <c r="M21"/>
  <c r="M32"/>
  <c r="M45"/>
  <c r="M24"/>
  <c r="M15"/>
  <c r="M6"/>
  <c r="M25"/>
  <c r="M16"/>
  <c r="M41"/>
  <c r="M43"/>
  <c r="M19"/>
  <c r="M11"/>
  <c r="M31"/>
  <c r="M23"/>
  <c r="M22"/>
  <c r="M40"/>
  <c r="M7"/>
  <c r="M9"/>
  <c r="M36"/>
  <c r="N24" l="1"/>
  <c r="N33"/>
  <c r="N31"/>
  <c r="N42"/>
  <c r="N7"/>
  <c r="N44"/>
  <c r="N27"/>
  <c r="N45"/>
  <c r="N32"/>
  <c r="N13"/>
  <c r="N9"/>
  <c r="N37"/>
  <c r="N19"/>
  <c r="N18"/>
  <c r="N38"/>
  <c r="N20"/>
  <c r="N26"/>
  <c r="N12"/>
  <c r="N43"/>
  <c r="N41"/>
  <c r="N36"/>
  <c r="N25"/>
  <c r="N22"/>
  <c r="N16"/>
  <c r="N17"/>
  <c r="N15"/>
  <c r="N23"/>
  <c r="N11"/>
  <c r="N28"/>
  <c r="N10"/>
  <c r="N35"/>
  <c r="N34"/>
  <c r="N21"/>
  <c r="N40"/>
  <c r="N29"/>
  <c r="N6"/>
  <c r="N30"/>
  <c r="N8"/>
  <c r="N14"/>
  <c r="N39"/>
  <c r="G55"/>
  <c r="G54"/>
  <c r="G53"/>
  <c r="G52"/>
  <c r="G51"/>
  <c r="G50"/>
  <c r="G49"/>
  <c r="G48"/>
  <c r="G47"/>
  <c r="G46"/>
  <c r="G45"/>
  <c r="G44"/>
  <c r="G43"/>
  <c r="G42"/>
  <c r="G41"/>
  <c r="G40"/>
  <c r="B40"/>
  <c r="G39"/>
  <c r="B39"/>
  <c r="G38"/>
  <c r="B38"/>
  <c r="G37"/>
  <c r="B37"/>
  <c r="G36"/>
  <c r="B36"/>
  <c r="G35"/>
  <c r="B35"/>
  <c r="G34"/>
  <c r="B34"/>
  <c r="G33"/>
  <c r="B33"/>
  <c r="G32"/>
  <c r="B32"/>
  <c r="G31"/>
  <c r="B31"/>
  <c r="G30"/>
  <c r="B30"/>
  <c r="G29"/>
  <c r="B29"/>
  <c r="G28"/>
  <c r="B28"/>
  <c r="G27"/>
  <c r="B27"/>
  <c r="G26"/>
  <c r="B26"/>
  <c r="G25"/>
  <c r="B25"/>
  <c r="G24"/>
  <c r="B24"/>
  <c r="G23"/>
  <c r="B23"/>
  <c r="G22"/>
  <c r="B22"/>
  <c r="G21"/>
  <c r="B21"/>
  <c r="G20"/>
  <c r="B20"/>
  <c r="G19"/>
  <c r="B19"/>
  <c r="G18"/>
  <c r="B18"/>
  <c r="G17"/>
  <c r="B17"/>
  <c r="G16"/>
  <c r="B16"/>
  <c r="G15"/>
  <c r="B15"/>
  <c r="G14"/>
  <c r="B14"/>
  <c r="G13"/>
  <c r="B13"/>
  <c r="G12"/>
  <c r="B12"/>
  <c r="G11"/>
  <c r="B11"/>
  <c r="G10"/>
  <c r="B10"/>
  <c r="G9"/>
  <c r="B9"/>
  <c r="G8"/>
  <c r="B8"/>
  <c r="G7"/>
  <c r="B7"/>
  <c r="G6"/>
  <c r="B6"/>
  <c r="O38"/>
  <c r="C18"/>
  <c r="C31"/>
  <c r="H44"/>
  <c r="C23"/>
  <c r="H34"/>
  <c r="C36"/>
  <c r="C10"/>
  <c r="H17"/>
  <c r="C28"/>
  <c r="C25"/>
  <c r="H25"/>
  <c r="H51"/>
  <c r="C14"/>
  <c r="H42"/>
  <c r="C16"/>
  <c r="C30"/>
  <c r="H29"/>
  <c r="C27"/>
  <c r="H53"/>
  <c r="H18"/>
  <c r="H10"/>
  <c r="H8"/>
  <c r="H7"/>
  <c r="C22"/>
  <c r="H24"/>
  <c r="H33"/>
  <c r="C38"/>
  <c r="H13"/>
  <c r="H21"/>
  <c r="H27"/>
  <c r="H16"/>
  <c r="H23"/>
  <c r="C34"/>
  <c r="H50"/>
  <c r="C21"/>
  <c r="C37"/>
  <c r="H32"/>
  <c r="H49"/>
  <c r="C35"/>
  <c r="H55"/>
  <c r="H31"/>
  <c r="C6"/>
  <c r="C17"/>
  <c r="C29"/>
  <c r="H38"/>
  <c r="H37"/>
  <c r="C39"/>
  <c r="H40"/>
  <c r="C32"/>
  <c r="H22"/>
  <c r="H14"/>
  <c r="H12"/>
  <c r="H19"/>
  <c r="H28"/>
  <c r="H36"/>
  <c r="C11"/>
  <c r="C9"/>
  <c r="H39"/>
  <c r="C12"/>
  <c r="H52"/>
  <c r="H20"/>
  <c r="C26"/>
  <c r="H11"/>
  <c r="H35"/>
  <c r="H54"/>
  <c r="C33"/>
  <c r="H26"/>
  <c r="H30"/>
  <c r="C40"/>
  <c r="H45"/>
  <c r="C13"/>
  <c r="C15"/>
  <c r="H41"/>
  <c r="H47"/>
  <c r="C7"/>
  <c r="C8"/>
  <c r="C24"/>
  <c r="H15"/>
  <c r="H9"/>
  <c r="H43"/>
  <c r="H46"/>
  <c r="C19"/>
  <c r="C20"/>
  <c r="H48"/>
  <c r="I16" l="1"/>
  <c r="I10"/>
  <c r="I18"/>
  <c r="I13"/>
  <c r="I12"/>
  <c r="I15"/>
  <c r="I6"/>
  <c r="I9"/>
  <c r="I17"/>
  <c r="I8"/>
  <c r="I20"/>
  <c r="I19"/>
  <c r="I11"/>
  <c r="I14"/>
  <c r="I7"/>
  <c r="I53"/>
  <c r="I50"/>
  <c r="I47"/>
  <c r="I44"/>
  <c r="I41"/>
  <c r="I38"/>
  <c r="I35"/>
  <c r="I32"/>
  <c r="I29"/>
  <c r="I26"/>
  <c r="I23"/>
  <c r="I54"/>
  <c r="I51"/>
  <c r="I48"/>
  <c r="I45"/>
  <c r="I42"/>
  <c r="I39"/>
  <c r="I36"/>
  <c r="I33"/>
  <c r="I30"/>
  <c r="I27"/>
  <c r="I24"/>
  <c r="I21"/>
  <c r="I55"/>
  <c r="I52"/>
  <c r="I49"/>
  <c r="I46"/>
  <c r="I43"/>
  <c r="I40"/>
  <c r="I37"/>
  <c r="I34"/>
  <c r="I31"/>
  <c r="I28"/>
  <c r="I25"/>
  <c r="I22"/>
  <c r="E39"/>
  <c r="D39" l="1"/>
  <c r="O39"/>
  <c r="E40"/>
  <c r="J39"/>
  <c r="D40" l="1"/>
  <c r="J52"/>
  <c r="J45"/>
  <c r="O43"/>
  <c r="J55"/>
  <c r="J42"/>
  <c r="J51"/>
  <c r="J41"/>
  <c r="O40"/>
  <c r="O44"/>
  <c r="J48"/>
  <c r="J54"/>
  <c r="O45"/>
  <c r="J40"/>
  <c r="J50"/>
  <c r="O41"/>
  <c r="J49"/>
  <c r="J53"/>
  <c r="J43"/>
  <c r="J46"/>
  <c r="J44"/>
  <c r="J38"/>
  <c r="J47"/>
  <c r="O42"/>
  <c r="D38" l="1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O9"/>
  <c r="E35"/>
  <c r="E13"/>
  <c r="J29"/>
  <c r="O8"/>
  <c r="O28"/>
  <c r="E12"/>
  <c r="O15"/>
  <c r="J31"/>
  <c r="O16"/>
  <c r="J33"/>
  <c r="J12"/>
  <c r="E25"/>
  <c r="J28"/>
  <c r="O17"/>
  <c r="E14"/>
  <c r="O31"/>
  <c r="O33"/>
  <c r="J7"/>
  <c r="O20"/>
  <c r="J37"/>
  <c r="E17"/>
  <c r="E21"/>
  <c r="O35"/>
  <c r="J20"/>
  <c r="J23"/>
  <c r="J24"/>
  <c r="O29"/>
  <c r="E19"/>
  <c r="O22"/>
  <c r="J14"/>
  <c r="O13"/>
  <c r="E29"/>
  <c r="E37"/>
  <c r="J9"/>
  <c r="O26"/>
  <c r="O32"/>
  <c r="E9"/>
  <c r="E15"/>
  <c r="J15"/>
  <c r="J21"/>
  <c r="E31"/>
  <c r="E38"/>
  <c r="J6"/>
  <c r="E8"/>
  <c r="O10"/>
  <c r="E6"/>
  <c r="O14"/>
  <c r="J34"/>
  <c r="J25"/>
  <c r="J35"/>
  <c r="E26"/>
  <c r="J10"/>
  <c r="O27"/>
  <c r="E32"/>
  <c r="E28"/>
  <c r="J13"/>
  <c r="O36"/>
  <c r="J32"/>
  <c r="E22"/>
  <c r="E23"/>
  <c r="O19"/>
  <c r="J11"/>
  <c r="E36"/>
  <c r="O24"/>
  <c r="J22"/>
  <c r="J30"/>
  <c r="O12"/>
  <c r="J17"/>
  <c r="E30"/>
  <c r="J26"/>
  <c r="J19"/>
  <c r="O25"/>
  <c r="O7"/>
  <c r="O11"/>
  <c r="J18"/>
  <c r="E27"/>
  <c r="O30"/>
  <c r="E34"/>
  <c r="E24"/>
  <c r="J8"/>
  <c r="E20"/>
  <c r="O37"/>
  <c r="E16"/>
  <c r="O23"/>
  <c r="O6"/>
  <c r="J27"/>
  <c r="E18"/>
  <c r="E11"/>
  <c r="J16"/>
  <c r="O34"/>
  <c r="E10"/>
  <c r="E33"/>
  <c r="O18"/>
  <c r="O21"/>
  <c r="E7"/>
  <c r="J36"/>
</calcChain>
</file>

<file path=xl/sharedStrings.xml><?xml version="1.0" encoding="utf-8"?>
<sst xmlns="http://schemas.openxmlformats.org/spreadsheetml/2006/main" count="14" uniqueCount="6">
  <si>
    <t>VALUE</t>
  </si>
  <si>
    <t>CALCULATE</t>
  </si>
  <si>
    <t>DIFF</t>
  </si>
  <si>
    <t>REALTIME</t>
  </si>
  <si>
    <t>TICKER</t>
  </si>
  <si>
    <t>NO</t>
  </si>
</sst>
</file>

<file path=xl/styles.xml><?xml version="1.0" encoding="utf-8"?>
<styleSheet xmlns="http://schemas.openxmlformats.org/spreadsheetml/2006/main">
  <numFmts count="1">
    <numFmt numFmtId="164" formatCode="0.000000"/>
  </numFmts>
  <fonts count="6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FF00"/>
      <name val="Calibri"/>
      <family val="2"/>
      <scheme val="minor"/>
    </font>
    <font>
      <b/>
      <sz val="9"/>
      <color rgb="FFFFFF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/>
      <diagonal/>
    </border>
    <border>
      <left style="thick">
        <color rgb="FFFFFF00"/>
      </left>
      <right/>
      <top style="thick">
        <color rgb="FFFFFF00"/>
      </top>
      <bottom style="thick">
        <color rgb="FFFFFF00"/>
      </bottom>
      <diagonal/>
    </border>
    <border>
      <left/>
      <right/>
      <top style="thick">
        <color rgb="FFFFFF00"/>
      </top>
      <bottom style="thick">
        <color rgb="FFFFFF0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2" borderId="0" xfId="0" applyFont="1" applyFill="1"/>
    <xf numFmtId="164" fontId="3" fillId="2" borderId="0" xfId="0" applyNumberFormat="1" applyFont="1" applyFill="1"/>
    <xf numFmtId="0" fontId="3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2" fillId="4" borderId="0" xfId="0" applyFont="1" applyFill="1"/>
    <xf numFmtId="0" fontId="1" fillId="5" borderId="0" xfId="0" applyFont="1" applyFill="1"/>
    <xf numFmtId="0" fontId="2" fillId="5" borderId="0" xfId="0" applyFont="1" applyFill="1"/>
    <xf numFmtId="0" fontId="4" fillId="4" borderId="0" xfId="0" applyFont="1" applyFill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64" fontId="1" fillId="6" borderId="0" xfId="0" applyNumberFormat="1" applyFont="1" applyFill="1"/>
  </cellXfs>
  <cellStyles count="1">
    <cellStyle name="Normal" xfId="0" builtinId="0"/>
  </cellStyles>
  <dxfs count="4">
    <dxf>
      <font>
        <color rgb="FF92D05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</mruColors>
  </colors>
</styleSheet>
</file>

<file path=xl/volatileDependencies.xml><?xml version="1.0" encoding="utf-8"?>
<volTypes xmlns="http://schemas.openxmlformats.org/spreadsheetml/2006/main">
  <volType type="realTimeData">
    <main first="realtimeserver">
      <tp>
        <v>0.254471</v>
        <stp/>
        <stp>EURDF3M5=.EONIA</stp>
        <stp>VALUE</stp>
        <tr r="M10" s="4"/>
      </tp>
      <tp>
        <v>0.72512200000000004</v>
        <stp/>
        <stp>EURDF6M5=.EONIA</stp>
        <stp>VALUE</stp>
        <tr r="H10" s="4"/>
      </tp>
      <tp>
        <v>0.90300100000000005</v>
        <stp/>
        <stp>EURDF3M4=.EONIA</stp>
        <stp>VALUE</stp>
        <tr r="M9" s="4"/>
      </tp>
      <tp>
        <v>4.5525000000000003E-2</v>
        <stp/>
        <stp>EURDF6M4=.EONIA</stp>
        <stp>VALUE</stp>
        <tr r="H9" s="4"/>
      </tp>
      <tp>
        <v>0.58631999999999995</v>
        <stp/>
        <stp>EURDF3M7=.EONIA</stp>
        <stp>VALUE</stp>
        <tr r="M12" s="4"/>
      </tp>
      <tp>
        <v>0.707376</v>
        <stp/>
        <stp>EURDF6M7=.EONIA</stp>
        <stp>VALUE</stp>
        <tr r="H12" s="4"/>
      </tp>
      <tp>
        <v>0.30516100000000002</v>
        <stp/>
        <stp>EURDF3M6=.EONIA</stp>
        <stp>VALUE</stp>
        <tr r="M11" s="4"/>
      </tp>
      <tp>
        <v>0.79924899999999999</v>
        <stp/>
        <stp>EURDF6M6=.EONIA</stp>
        <stp>VALUE</stp>
        <tr r="H11" s="4"/>
      </tp>
      <tp>
        <v>0.85249399999999997</v>
        <stp/>
        <stp>EURDF3M1=.EONIA</stp>
        <stp>VALUE</stp>
        <tr r="M6" s="4"/>
      </tp>
      <tp>
        <v>0.47158099999999997</v>
        <stp/>
        <stp>EURDF6M1=.EONIA</stp>
        <stp>VALUE</stp>
        <tr r="H6" s="4"/>
      </tp>
      <tp>
        <v>0.29568499999999998</v>
        <stp/>
        <stp>EURDF3M3=.EONIA</stp>
        <stp>VALUE</stp>
        <tr r="M8" s="4"/>
      </tp>
      <tp>
        <v>3.7803999999999997E-2</v>
        <stp/>
        <stp>EURDF6M3=.EONIA</stp>
        <stp>VALUE</stp>
        <tr r="H8" s="4"/>
      </tp>
      <tp>
        <v>8.0933000000000005E-2</v>
        <stp/>
        <stp>EURDF3M2=.EONIA</stp>
        <stp>VALUE</stp>
        <tr r="M7" s="4"/>
      </tp>
      <tp>
        <v>0.99299000000000004</v>
        <stp/>
        <stp>EURDF6M2=.EONIA</stp>
        <stp>VALUE</stp>
        <tr r="H7" s="4"/>
      </tp>
      <tp>
        <v>0.240448</v>
        <stp/>
        <stp>EURDF3M9=.EONIA</stp>
        <stp>VALUE</stp>
        <tr r="M14" s="4"/>
      </tp>
      <tp>
        <v>0.154473</v>
        <stp/>
        <stp>EURDF6M9=.EONIA</stp>
        <stp>VALUE</stp>
        <tr r="H14" s="4"/>
      </tp>
      <tp>
        <v>0.47294700000000001</v>
        <stp/>
        <stp>EURDF3M8=.EONIA</stp>
        <stp>VALUE</stp>
        <tr r="M13" s="4"/>
      </tp>
      <tp>
        <v>0.79712799999999995</v>
        <stp/>
        <stp>EURDF6M8=.EONIA</stp>
        <stp>VALUE</stp>
        <tr r="H13" s="4"/>
      </tp>
      <tp>
        <v>0.961839</v>
        <stp/>
        <stp>EURDFSTD8=.EONIA</stp>
        <stp>VALUE</stp>
        <tr r="C13" s="4"/>
      </tp>
      <tp>
        <v>0.73127900000000001</v>
        <stp/>
        <stp>EURDFSTD9=.EONIA</stp>
        <stp>VALUE</stp>
        <tr r="C14" s="4"/>
      </tp>
      <tp>
        <v>7.0800000000000004E-3</v>
        <stp/>
        <stp>EURDFSTD4=.EONIA</stp>
        <stp>VALUE</stp>
        <tr r="C9" s="4"/>
      </tp>
      <tp>
        <v>0.35322599999999998</v>
        <stp/>
        <stp>EURDFSTD5=.EONIA</stp>
        <stp>VALUE</stp>
        <tr r="C10" s="4"/>
      </tp>
      <tp>
        <v>0.249116</v>
        <stp/>
        <stp>EURDFSTD6=.EONIA</stp>
        <stp>VALUE</stp>
        <tr r="C11" s="4"/>
      </tp>
      <tp>
        <v>0.72949299999999995</v>
        <stp/>
        <stp>EURDFSTD7=.EONIA</stp>
        <stp>VALUE</stp>
        <tr r="C12" s="4"/>
      </tp>
      <tp>
        <v>0.40000999999999998</v>
        <stp/>
        <stp>EURDFSTD1=.EONIA</stp>
        <stp>VALUE</stp>
        <tr r="C6" s="4"/>
      </tp>
      <tp>
        <v>0.64595100000000005</v>
        <stp/>
        <stp>EURDFSTD2=.EONIA</stp>
        <stp>VALUE</stp>
        <tr r="C7" s="4"/>
      </tp>
      <tp>
        <v>0.67123500000000003</v>
        <stp/>
        <stp>EURDFSTD3=.EONIA</stp>
        <stp>VALUE</stp>
        <tr r="C8" s="4"/>
      </tp>
      <tp>
        <v>0.135773</v>
        <stp/>
        <stp>EURDF6M50=.EONIA</stp>
        <stp>VALUE</stp>
        <tr r="H55" s="4"/>
      </tp>
      <tp>
        <v>0.41911399999999999</v>
        <stp/>
        <stp>EURDF6M48=.EONIA</stp>
        <stp>VALUE</stp>
        <tr r="H53" s="4"/>
      </tp>
      <tp>
        <v>0.48545899999999997</v>
        <stp/>
        <stp>EURDF6M49=.EONIA</stp>
        <stp>VALUE</stp>
        <tr r="H54" s="4"/>
      </tp>
      <tp>
        <v>4.0543000000000003E-2</v>
        <stp/>
        <stp>EURDF6M44=.EONIA</stp>
        <stp>VALUE</stp>
        <tr r="H49" s="4"/>
      </tp>
      <tp>
        <v>0.79826399999999997</v>
        <stp/>
        <stp>EURDF6M45=.EONIA</stp>
        <stp>VALUE</stp>
        <tr r="H50" s="4"/>
      </tp>
      <tp>
        <v>0.45051600000000003</v>
        <stp/>
        <stp>EURDF6M46=.EONIA</stp>
        <stp>VALUE</stp>
        <tr r="H51" s="4"/>
      </tp>
      <tp>
        <v>0.69848699999999997</v>
        <stp/>
        <stp>EURDF6M47=.EONIA</stp>
        <stp>VALUE</stp>
        <tr r="H52" s="4"/>
      </tp>
      <tp>
        <v>7.2159000000000001E-2</v>
        <stp/>
        <stp>EURDF6M40=.EONIA</stp>
        <stp>VALUE</stp>
        <tr r="H45" s="4"/>
      </tp>
      <tp>
        <v>0.65035299999999996</v>
        <stp/>
        <stp>EURDF3M40=.EONIA</stp>
        <stp>VALUE</stp>
        <tr r="M45" s="4"/>
      </tp>
      <tp>
        <v>0.76344400000000001</v>
        <stp/>
        <stp>EURDF6M41=.EONIA</stp>
        <stp>VALUE</stp>
        <tr r="H46" s="4"/>
      </tp>
      <tp>
        <v>0.63053999999999999</v>
        <stp/>
        <stp>EURDF6M42=.EONIA</stp>
        <stp>VALUE</stp>
        <tr r="H47" s="4"/>
      </tp>
      <tp>
        <v>4.6477999999999998E-2</v>
        <stp/>
        <stp>EURDF6M43=.EONIA</stp>
        <stp>VALUE</stp>
        <tr r="H48" s="4"/>
      </tp>
      <tp>
        <v>0.67127300000000001</v>
        <stp/>
        <stp>EURDF6M18=.EONIA</stp>
        <stp>VALUE</stp>
        <tr r="H23" s="4"/>
      </tp>
      <tp>
        <v>0.33537400000000001</v>
        <stp/>
        <stp>EURDF3M18=.EONIA</stp>
        <stp>VALUE</stp>
        <tr r="M23" s="4"/>
      </tp>
      <tp>
        <v>0.79618199999999995</v>
        <stp/>
        <stp>EURDF6M19=.EONIA</stp>
        <stp>VALUE</stp>
        <tr r="H24" s="4"/>
      </tp>
      <tp>
        <v>0.22787499999999999</v>
        <stp/>
        <stp>EURDF3M19=.EONIA</stp>
        <stp>VALUE</stp>
        <tr r="M24" s="4"/>
      </tp>
      <tp>
        <v>0.64820199999999994</v>
        <stp/>
        <stp>EURDF6M14=.EONIA</stp>
        <stp>VALUE</stp>
        <tr r="H19" s="4"/>
      </tp>
      <tp>
        <v>0.749803</v>
        <stp/>
        <stp>EURDF3M14=.EONIA</stp>
        <stp>VALUE</stp>
        <tr r="M19" s="4"/>
      </tp>
      <tp>
        <v>0.42154799999999998</v>
        <stp/>
        <stp>EURDF6M15=.EONIA</stp>
        <stp>VALUE</stp>
        <tr r="H20" s="4"/>
      </tp>
      <tp>
        <v>0.81027300000000002</v>
        <stp/>
        <stp>EURDF3M15=.EONIA</stp>
        <stp>VALUE</stp>
        <tr r="M20" s="4"/>
      </tp>
      <tp>
        <v>0.45464399999999999</v>
        <stp/>
        <stp>EURDF6M16=.EONIA</stp>
        <stp>VALUE</stp>
        <tr r="H21" s="4"/>
      </tp>
      <tp>
        <v>0.51330600000000004</v>
        <stp/>
        <stp>EURDF3M16=.EONIA</stp>
        <stp>VALUE</stp>
        <tr r="M21" s="4"/>
      </tp>
      <tp>
        <v>0.72799000000000003</v>
        <stp/>
        <stp>EURDF6M17=.EONIA</stp>
        <stp>VALUE</stp>
        <tr r="H22" s="4"/>
      </tp>
      <tp>
        <v>0.33155899999999999</v>
        <stp/>
        <stp>EURDF3M17=.EONIA</stp>
        <stp>VALUE</stp>
        <tr r="M22" s="4"/>
      </tp>
      <tp>
        <v>0.48250700000000002</v>
        <stp/>
        <stp>EURDF6M10=.EONIA</stp>
        <stp>VALUE</stp>
        <tr r="H15" s="4"/>
      </tp>
      <tp>
        <v>0.38879399999999997</v>
        <stp/>
        <stp>EURDF3M10=.EONIA</stp>
        <stp>VALUE</stp>
        <tr r="M15" s="4"/>
      </tp>
      <tp>
        <v>0.89844599999999997</v>
        <stp/>
        <stp>EURDF6M11=.EONIA</stp>
        <stp>VALUE</stp>
        <tr r="H16" s="4"/>
      </tp>
      <tp>
        <v>0.65042199999999994</v>
        <stp/>
        <stp>EURDF3M11=.EONIA</stp>
        <stp>VALUE</stp>
        <tr r="M16" s="4"/>
      </tp>
      <tp>
        <v>0.81438600000000005</v>
        <stp/>
        <stp>EURDF6M12=.EONIA</stp>
        <stp>VALUE</stp>
        <tr r="H17" s="4"/>
      </tp>
      <tp>
        <v>0.769486</v>
        <stp/>
        <stp>EURDF3M12=.EONIA</stp>
        <stp>VALUE</stp>
        <tr r="M17" s="4"/>
      </tp>
      <tp>
        <v>0.47444999999999998</v>
        <stp/>
        <stp>EURDF6M13=.EONIA</stp>
        <stp>VALUE</stp>
        <tr r="H18" s="4"/>
      </tp>
      <tp>
        <v>0.64245699999999994</v>
        <stp/>
        <stp>EURDF3M13=.EONIA</stp>
        <stp>VALUE</stp>
        <tr r="M18" s="4"/>
      </tp>
      <tp>
        <v>0.82231200000000004</v>
        <stp/>
        <stp>EURDF6M38=.EONIA</stp>
        <stp>VALUE</stp>
        <tr r="H43" s="4"/>
      </tp>
      <tp>
        <v>0.62706799999999996</v>
        <stp/>
        <stp>EURDF3M38=.EONIA</stp>
        <stp>VALUE</stp>
        <tr r="M43" s="4"/>
      </tp>
      <tp>
        <v>0.53512599999999999</v>
        <stp/>
        <stp>EURDF6M39=.EONIA</stp>
        <stp>VALUE</stp>
        <tr r="H44" s="4"/>
      </tp>
      <tp>
        <v>3.9449999999999997E-3</v>
        <stp/>
        <stp>EURDF3M39=.EONIA</stp>
        <stp>VALUE</stp>
        <tr r="M44" s="4"/>
      </tp>
      <tp>
        <v>0.85974200000000001</v>
        <stp/>
        <stp>EURDF6M34=.EONIA</stp>
        <stp>VALUE</stp>
        <tr r="H39" s="4"/>
      </tp>
      <tp>
        <v>0.22502900000000001</v>
        <stp/>
        <stp>EURDF3M34=.EONIA</stp>
        <stp>VALUE</stp>
        <tr r="M39" s="4"/>
      </tp>
      <tp>
        <v>0.34989999999999999</v>
        <stp/>
        <stp>EURDF6M35=.EONIA</stp>
        <stp>VALUE</stp>
        <tr r="H40" s="4"/>
      </tp>
      <tp>
        <v>5.1124999999999997E-2</v>
        <stp/>
        <stp>EURDF3M35=.EONIA</stp>
        <stp>VALUE</stp>
        <tr r="M40" s="4"/>
      </tp>
      <tp>
        <v>0.95918400000000004</v>
        <stp/>
        <stp>EURDF6M36=.EONIA</stp>
        <stp>VALUE</stp>
        <tr r="H41" s="4"/>
      </tp>
      <tp>
        <v>0.65456499999999995</v>
        <stp/>
        <stp>EURDF3M36=.EONIA</stp>
        <stp>VALUE</stp>
        <tr r="M41" s="4"/>
      </tp>
      <tp>
        <v>0.78137299999999998</v>
        <stp/>
        <stp>EURDF6M37=.EONIA</stp>
        <stp>VALUE</stp>
        <tr r="H42" s="4"/>
      </tp>
      <tp>
        <v>0.66034800000000005</v>
        <stp/>
        <stp>EURDF3M37=.EONIA</stp>
        <stp>VALUE</stp>
        <tr r="M42" s="4"/>
      </tp>
      <tp>
        <v>0.25263999999999998</v>
        <stp/>
        <stp>EURDF6M30=.EONIA</stp>
        <stp>VALUE</stp>
        <tr r="H35" s="4"/>
      </tp>
      <tp>
        <v>0.278084</v>
        <stp/>
        <stp>EURDF3M30=.EONIA</stp>
        <stp>VALUE</stp>
        <tr r="M35" s="4"/>
      </tp>
      <tp>
        <v>0.40879900000000002</v>
        <stp/>
        <stp>EURDF6M31=.EONIA</stp>
        <stp>VALUE</stp>
        <tr r="H36" s="4"/>
      </tp>
      <tp>
        <v>0.62174300000000005</v>
        <stp/>
        <stp>EURDF3M31=.EONIA</stp>
        <stp>VALUE</stp>
        <tr r="M36" s="4"/>
      </tp>
      <tp>
        <v>0.855989</v>
        <stp/>
        <stp>EURDF6M32=.EONIA</stp>
        <stp>VALUE</stp>
        <tr r="H37" s="4"/>
      </tp>
      <tp>
        <v>0.44980700000000001</v>
        <stp/>
        <stp>EURDF3M32=.EONIA</stp>
        <stp>VALUE</stp>
        <tr r="M37" s="4"/>
      </tp>
      <tp>
        <v>0.62739599999999995</v>
        <stp/>
        <stp>EURDF6M33=.EONIA</stp>
        <stp>VALUE</stp>
        <tr r="H38" s="4"/>
      </tp>
      <tp>
        <v>0.199715</v>
        <stp/>
        <stp>EURDF3M33=.EONIA</stp>
        <stp>VALUE</stp>
        <tr r="M38" s="4"/>
      </tp>
      <tp>
        <v>0.51844900000000005</v>
        <stp/>
        <stp>EURDF6M28=.EONIA</stp>
        <stp>VALUE</stp>
        <tr r="H33" s="4"/>
      </tp>
      <tp>
        <v>0.52826799999999996</v>
        <stp/>
        <stp>EURDF3M28=.EONIA</stp>
        <stp>VALUE</stp>
        <tr r="M33" s="4"/>
      </tp>
      <tp>
        <v>0.62966999999999995</v>
        <stp/>
        <stp>EURDF6M29=.EONIA</stp>
        <stp>VALUE</stp>
        <tr r="H34" s="4"/>
      </tp>
      <tp>
        <v>0.97348900000000005</v>
        <stp/>
        <stp>EURDF3M29=.EONIA</stp>
        <stp>VALUE</stp>
        <tr r="M34" s="4"/>
      </tp>
      <tp>
        <v>0.76256699999999999</v>
        <stp/>
        <stp>EURDF6M24=.EONIA</stp>
        <stp>VALUE</stp>
        <tr r="H29" s="4"/>
      </tp>
      <tp>
        <v>0.67276100000000005</v>
        <stp/>
        <stp>EURDF3M24=.EONIA</stp>
        <stp>VALUE</stp>
        <tr r="M29" s="4"/>
      </tp>
      <tp>
        <v>0.46756799999999998</v>
        <stp/>
        <stp>EURDF6M25=.EONIA</stp>
        <stp>VALUE</stp>
        <tr r="H30" s="4"/>
      </tp>
      <tp>
        <v>0.61641800000000002</v>
        <stp/>
        <stp>EURDF3M25=.EONIA</stp>
        <stp>VALUE</stp>
        <tr r="M30" s="4"/>
      </tp>
      <tp>
        <v>0.52216399999999996</v>
        <stp/>
        <stp>EURDF6M26=.EONIA</stp>
        <stp>VALUE</stp>
        <tr r="H31" s="4"/>
      </tp>
      <tp>
        <v>0.56360699999999997</v>
        <stp/>
        <stp>EURDF3M26=.EONIA</stp>
        <stp>VALUE</stp>
        <tr r="M31" s="4"/>
      </tp>
      <tp>
        <v>0.277947</v>
        <stp/>
        <stp>EURDF6M27=.EONIA</stp>
        <stp>VALUE</stp>
        <tr r="H32" s="4"/>
      </tp>
      <tp>
        <v>0.91704699999999995</v>
        <stp/>
        <stp>EURDF3M27=.EONIA</stp>
        <stp>VALUE</stp>
        <tr r="M32" s="4"/>
      </tp>
      <tp>
        <v>0.43868299999999999</v>
        <stp/>
        <stp>EURDF6M20=.EONIA</stp>
        <stp>VALUE</stp>
        <tr r="H25" s="4"/>
      </tp>
      <tp>
        <v>0.76293999999999995</v>
        <stp/>
        <stp>EURDF3M20=.EONIA</stp>
        <stp>VALUE</stp>
        <tr r="M25" s="4"/>
      </tp>
      <tp>
        <v>0.163216</v>
        <stp/>
        <stp>EURDF6M21=.EONIA</stp>
        <stp>VALUE</stp>
        <tr r="H26" s="4"/>
      </tp>
      <tp>
        <v>0.38200400000000001</v>
        <stp/>
        <stp>EURDF3M21=.EONIA</stp>
        <stp>VALUE</stp>
        <tr r="M26" s="4"/>
      </tp>
      <tp>
        <v>0.80765600000000004</v>
        <stp/>
        <stp>EURDF6M22=.EONIA</stp>
        <stp>VALUE</stp>
        <tr r="H27" s="4"/>
      </tp>
      <tp>
        <v>0.229569</v>
        <stp/>
        <stp>EURDF3M22=.EONIA</stp>
        <stp>VALUE</stp>
        <tr r="M27" s="4"/>
      </tp>
      <tp>
        <v>0.91890799999999995</v>
        <stp/>
        <stp>EURDF6M23=.EONIA</stp>
        <stp>VALUE</stp>
        <tr r="H28" s="4"/>
      </tp>
      <tp>
        <v>0.55175799999999997</v>
        <stp/>
        <stp>EURDF3M23=.EONIA</stp>
        <stp>VALUE</stp>
        <tr r="M28" s="4"/>
      </tp>
      <tp>
        <v>0.88597999999999999</v>
        <stp/>
        <stp>EURDFSTD32=.EONIA</stp>
        <stp>VALUE</stp>
        <tr r="C37" s="4"/>
      </tp>
      <tp>
        <v>0.10660600000000001</v>
        <stp/>
        <stp>EURDFSTD33=.EONIA</stp>
        <stp>VALUE</stp>
        <tr r="C38" s="4"/>
      </tp>
      <tp>
        <v>0.65175700000000003</v>
        <stp/>
        <stp>EURDFSTD30=.EONIA</stp>
        <stp>VALUE</stp>
        <tr r="C35" s="4"/>
      </tp>
      <tp>
        <v>0.53644599999999998</v>
        <stp/>
        <stp>EURDFSTD31=.EONIA</stp>
        <stp>VALUE</stp>
        <tr r="C36" s="4"/>
      </tp>
      <tp>
        <v>0.61042099999999999</v>
        <stp/>
        <stp>EURDFSTD34=.EONIA</stp>
        <stp>VALUE</stp>
        <tr r="C39" s="4"/>
      </tp>
      <tp>
        <v>0.49120399999999997</v>
        <stp/>
        <stp>EURDFSTD35=.EONIA</stp>
        <stp>VALUE</stp>
        <tr r="C40" s="4"/>
      </tp>
      <tp>
        <v>0.15052099999999999</v>
        <stp/>
        <stp>EURDFSTD22=.EONIA</stp>
        <stp>VALUE</stp>
        <tr r="C27" s="4"/>
      </tp>
      <tp>
        <v>0.42583500000000002</v>
        <stp/>
        <stp>EURDFSTD23=.EONIA</stp>
        <stp>VALUE</stp>
        <tr r="C28" s="4"/>
      </tp>
      <tp>
        <v>0.52764200000000006</v>
        <stp/>
        <stp>EURDFSTD20=.EONIA</stp>
        <stp>VALUE</stp>
        <tr r="C25" s="4"/>
      </tp>
      <tp>
        <v>0.24826899999999999</v>
        <stp/>
        <stp>EURDFSTD21=.EONIA</stp>
        <stp>VALUE</stp>
        <tr r="C26" s="4"/>
      </tp>
      <tp>
        <v>0.16187299999999999</v>
        <stp/>
        <stp>EURDFSTD26=.EONIA</stp>
        <stp>VALUE</stp>
        <tr r="C31" s="4"/>
      </tp>
      <tp>
        <v>0.31218800000000002</v>
        <stp/>
        <stp>EURDFSTD27=.EONIA</stp>
        <stp>VALUE</stp>
        <tr r="C32" s="4"/>
      </tp>
      <tp>
        <v>0.34761900000000001</v>
        <stp/>
        <stp>EURDFSTD24=.EONIA</stp>
        <stp>VALUE</stp>
        <tr r="C29" s="4"/>
      </tp>
      <tp>
        <v>0.382683</v>
        <stp/>
        <stp>EURDFSTD25=.EONIA</stp>
        <stp>VALUE</stp>
        <tr r="C30" s="4"/>
      </tp>
      <tp>
        <v>0.20662700000000001</v>
        <stp/>
        <stp>EURDFSTD28=.EONIA</stp>
        <stp>VALUE</stp>
        <tr r="C33" s="4"/>
      </tp>
      <tp>
        <v>0.94872400000000001</v>
        <stp/>
        <stp>EURDFSTD29=.EONIA</stp>
        <stp>VALUE</stp>
        <tr r="C34" s="4"/>
      </tp>
      <tp>
        <v>0.94000399999999995</v>
        <stp/>
        <stp>EURDFSTD12=.EONIA</stp>
        <stp>VALUE</stp>
        <tr r="C17" s="4"/>
      </tp>
      <tp>
        <v>0.14888000000000001</v>
        <stp/>
        <stp>EURDFSTD13=.EONIA</stp>
        <stp>VALUE</stp>
        <tr r="C18" s="4"/>
      </tp>
      <tp>
        <v>0.18237400000000001</v>
        <stp/>
        <stp>EURDFSTD10=.EONIA</stp>
        <stp>VALUE</stp>
        <tr r="C15" s="4"/>
      </tp>
      <tp>
        <v>0.93228299999999997</v>
        <stp/>
        <stp>EURDFSTD11=.EONIA</stp>
        <stp>VALUE</stp>
        <tr r="C16" s="4"/>
      </tp>
      <tp>
        <v>0.55294900000000002</v>
        <stp/>
        <stp>EURDFSTD16=.EONIA</stp>
        <stp>VALUE</stp>
        <tr r="C21" s="4"/>
      </tp>
      <tp>
        <v>0.75210699999999997</v>
        <stp/>
        <stp>EURDFSTD17=.EONIA</stp>
        <stp>VALUE</stp>
        <tr r="C22" s="4"/>
      </tp>
      <tp>
        <v>0.15856999999999999</v>
        <stp/>
        <stp>EURDFSTD14=.EONIA</stp>
        <stp>VALUE</stp>
        <tr r="C19" s="4"/>
      </tp>
      <tp>
        <v>0.78544700000000001</v>
        <stp/>
        <stp>EURDFSTD15=.EONIA</stp>
        <stp>VALUE</stp>
        <tr r="C20" s="4"/>
      </tp>
      <tp>
        <v>0.97310799999999997</v>
        <stp/>
        <stp>EURDFSTD18=.EONIA</stp>
        <stp>VALUE</stp>
        <tr r="C23" s="4"/>
      </tp>
      <tp>
        <v>0.281609</v>
        <stp/>
        <stp>EURDFSTD19=.EONIA</stp>
        <stp>VALUE</stp>
        <tr r="C24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FeedCodes/realtimequotes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3"/>
    </sheetNames>
    <definedNames>
      <definedName name="realtimeget2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P105"/>
  <sheetViews>
    <sheetView tabSelected="1" workbookViewId="0">
      <selection activeCell="J13" sqref="J13"/>
    </sheetView>
  </sheetViews>
  <sheetFormatPr defaultColWidth="3.5546875" defaultRowHeight="12"/>
  <cols>
    <col min="1" max="1" width="3.109375" style="1" bestFit="1" customWidth="1"/>
    <col min="2" max="2" width="15.109375" style="1" bestFit="1" customWidth="1"/>
    <col min="3" max="3" width="7" style="1" bestFit="1" customWidth="1"/>
    <col min="4" max="4" width="7.21875" style="6" bestFit="1" customWidth="1"/>
    <col min="5" max="5" width="4.33203125" style="1" bestFit="1" customWidth="1"/>
    <col min="6" max="6" width="6.6640625" style="2" bestFit="1" customWidth="1"/>
    <col min="7" max="7" width="14.6640625" style="1" bestFit="1" customWidth="1"/>
    <col min="8" max="8" width="7" style="1" bestFit="1" customWidth="1"/>
    <col min="9" max="9" width="7.21875" style="6" bestFit="1" customWidth="1"/>
    <col min="10" max="10" width="4.33203125" style="1" bestFit="1" customWidth="1"/>
    <col min="11" max="11" width="7" style="3" bestFit="1" customWidth="1"/>
    <col min="12" max="12" width="14.6640625" style="1" bestFit="1" customWidth="1"/>
    <col min="13" max="13" width="7" style="1" bestFit="1" customWidth="1"/>
    <col min="14" max="14" width="7.21875" style="6" bestFit="1" customWidth="1"/>
    <col min="15" max="15" width="4.33203125" style="1" bestFit="1" customWidth="1"/>
    <col min="16" max="16" width="7" style="3" bestFit="1" customWidth="1"/>
    <col min="17" max="17" width="7" style="1" bestFit="1" customWidth="1"/>
    <col min="18" max="18" width="10.5546875" style="1" customWidth="1"/>
    <col min="19" max="16384" width="3.5546875" style="1"/>
  </cols>
  <sheetData>
    <row r="1" spans="1:16" s="9" customFormat="1">
      <c r="F1" s="10"/>
    </row>
    <row r="2" spans="1:16" s="9" customFormat="1">
      <c r="F2" s="10"/>
    </row>
    <row r="3" spans="1:16" s="9" customFormat="1" ht="12.6" thickBot="1">
      <c r="F3" s="10"/>
    </row>
    <row r="4" spans="1:16" s="7" customFormat="1" ht="13.2" thickTop="1" thickBot="1">
      <c r="B4" s="11" t="s">
        <v>1</v>
      </c>
      <c r="C4" s="14" t="s">
        <v>5</v>
      </c>
      <c r="F4" s="8"/>
    </row>
    <row r="5" spans="1:16" s="13" customFormat="1" ht="13.2" thickTop="1" thickBot="1">
      <c r="A5" s="12"/>
      <c r="B5" s="13" t="s">
        <v>4</v>
      </c>
      <c r="C5" s="13" t="s">
        <v>3</v>
      </c>
      <c r="D5" s="13" t="s">
        <v>2</v>
      </c>
      <c r="F5" s="13" t="s">
        <v>0</v>
      </c>
      <c r="G5" s="13" t="s">
        <v>4</v>
      </c>
      <c r="H5" s="13" t="s">
        <v>3</v>
      </c>
      <c r="I5" s="13" t="s">
        <v>2</v>
      </c>
      <c r="K5" s="13" t="s">
        <v>0</v>
      </c>
      <c r="L5" s="13" t="s">
        <v>4</v>
      </c>
      <c r="M5" s="13" t="s">
        <v>3</v>
      </c>
      <c r="N5" s="13" t="s">
        <v>2</v>
      </c>
      <c r="P5" s="13" t="s">
        <v>0</v>
      </c>
    </row>
    <row r="6" spans="1:16" ht="12.6" thickTop="1">
      <c r="A6" s="1">
        <v>1</v>
      </c>
      <c r="B6" s="1" t="str">
        <f>CONCATENATE("EURDFSTD",A6,"=.EONIA")</f>
        <v>EURDFSTD1=.EONIA</v>
      </c>
      <c r="C6" s="1">
        <f>[1]!realtimeget2(calculate,B6,"VALUE")</f>
        <v>0.40000999999999998</v>
      </c>
      <c r="D6" s="15">
        <f>C6-F6</f>
        <v>0</v>
      </c>
      <c r="E6" s="1" t="str">
        <f t="shared" ref="E6:E40" si="0">UpdateDB(calculate,B6,F6)</f>
        <v>STOP</v>
      </c>
      <c r="F6" s="4">
        <v>0.40000999999999998</v>
      </c>
      <c r="G6" s="1" t="str">
        <f>CONCATENATE("EURDF6M",A6,"=.EONIA")</f>
        <v>EURDF6M1=.EONIA</v>
      </c>
      <c r="H6" s="1">
        <f>[1]!realtimeget2(calculate,G6,"VALUE")</f>
        <v>0.47158099999999997</v>
      </c>
      <c r="I6" s="15">
        <f t="shared" ref="I6:I20" si="1">H6-K6</f>
        <v>0</v>
      </c>
      <c r="J6" s="1" t="str">
        <f t="shared" ref="J6:J37" si="2">UpdateDB(calculate,G6,K6)</f>
        <v>STOP</v>
      </c>
      <c r="K6" s="5">
        <v>0.47158099999999997</v>
      </c>
      <c r="L6" s="1" t="str">
        <f>CONCATENATE("EURDF3M",A6,"=.EONIA")</f>
        <v>EURDF3M1=.EONIA</v>
      </c>
      <c r="M6" s="1">
        <f>[1]!realtimeget2(calculate,L6,"VALUE")</f>
        <v>0.85249399999999997</v>
      </c>
      <c r="N6" s="15">
        <f>M6-P6</f>
        <v>0</v>
      </c>
      <c r="O6" s="1" t="str">
        <f t="shared" ref="O6:O45" si="3">UpdateDB(calculate,L6,P6)</f>
        <v>STOP</v>
      </c>
      <c r="P6" s="5">
        <v>0.85249399999999997</v>
      </c>
    </row>
    <row r="7" spans="1:16">
      <c r="A7" s="1">
        <v>2</v>
      </c>
      <c r="B7" s="1" t="str">
        <f t="shared" ref="B7:B40" si="4">CONCATENATE("EURDFSTD",A7,"=.EONIA")</f>
        <v>EURDFSTD2=.EONIA</v>
      </c>
      <c r="C7" s="1">
        <f>[1]!realtimeget2(calculate,B7,"VALUE")</f>
        <v>0.64595100000000005</v>
      </c>
      <c r="D7" s="15">
        <f t="shared" ref="D7:D40" si="5">C7-F7</f>
        <v>0</v>
      </c>
      <c r="E7" s="1" t="str">
        <f t="shared" si="0"/>
        <v>STOP</v>
      </c>
      <c r="F7" s="4">
        <v>0.64595100000000005</v>
      </c>
      <c r="G7" s="1" t="str">
        <f t="shared" ref="G7:G55" si="6">CONCATENATE("EURDF6M",A7,"=.EONIA")</f>
        <v>EURDF6M2=.EONIA</v>
      </c>
      <c r="H7" s="1">
        <f>[1]!realtimeget2(calculate,G7,"VALUE")</f>
        <v>0.99299000000000004</v>
      </c>
      <c r="I7" s="15">
        <f t="shared" si="1"/>
        <v>0</v>
      </c>
      <c r="J7" s="1" t="str">
        <f t="shared" si="2"/>
        <v>STOP</v>
      </c>
      <c r="K7" s="5">
        <v>0.99299000000000004</v>
      </c>
      <c r="L7" s="1" t="str">
        <f t="shared" ref="L7:L45" si="7">CONCATENATE("EURDF3M",A7,"=.EONIA")</f>
        <v>EURDF3M2=.EONIA</v>
      </c>
      <c r="M7" s="1">
        <f>[1]!realtimeget2(calculate,L7,"VALUE")</f>
        <v>8.0933000000000005E-2</v>
      </c>
      <c r="N7" s="15">
        <f t="shared" ref="N7:N45" si="8">M7-P7</f>
        <v>0</v>
      </c>
      <c r="O7" s="1" t="str">
        <f t="shared" si="3"/>
        <v>STOP</v>
      </c>
      <c r="P7" s="5">
        <v>8.0933000000000005E-2</v>
      </c>
    </row>
    <row r="8" spans="1:16">
      <c r="A8" s="1">
        <v>3</v>
      </c>
      <c r="B8" s="1" t="str">
        <f t="shared" si="4"/>
        <v>EURDFSTD3=.EONIA</v>
      </c>
      <c r="C8" s="1">
        <f>[1]!realtimeget2(calculate,B8,"VALUE")</f>
        <v>0.67123500000000003</v>
      </c>
      <c r="D8" s="15">
        <f t="shared" si="5"/>
        <v>0</v>
      </c>
      <c r="E8" s="1" t="str">
        <f t="shared" si="0"/>
        <v>STOP</v>
      </c>
      <c r="F8" s="4">
        <v>0.67123500000000003</v>
      </c>
      <c r="G8" s="1" t="str">
        <f t="shared" si="6"/>
        <v>EURDF6M3=.EONIA</v>
      </c>
      <c r="H8" s="1">
        <f>[1]!realtimeget2(calculate,G8,"VALUE")</f>
        <v>3.7803999999999997E-2</v>
      </c>
      <c r="I8" s="15">
        <f t="shared" si="1"/>
        <v>0</v>
      </c>
      <c r="J8" s="1" t="str">
        <f t="shared" si="2"/>
        <v>STOP</v>
      </c>
      <c r="K8" s="5">
        <v>3.7803999999999997E-2</v>
      </c>
      <c r="L8" s="1" t="str">
        <f t="shared" si="7"/>
        <v>EURDF3M3=.EONIA</v>
      </c>
      <c r="M8" s="1">
        <f>[1]!realtimeget2(calculate,L8,"VALUE")</f>
        <v>0.29568499999999998</v>
      </c>
      <c r="N8" s="15">
        <f t="shared" si="8"/>
        <v>0</v>
      </c>
      <c r="O8" s="1" t="str">
        <f t="shared" si="3"/>
        <v>STOP</v>
      </c>
      <c r="P8" s="5">
        <v>0.29568499999999998</v>
      </c>
    </row>
    <row r="9" spans="1:16">
      <c r="A9" s="1">
        <v>4</v>
      </c>
      <c r="B9" s="1" t="str">
        <f t="shared" si="4"/>
        <v>EURDFSTD4=.EONIA</v>
      </c>
      <c r="C9" s="1">
        <f>[1]!realtimeget2(calculate,B9,"VALUE")</f>
        <v>7.0800000000000004E-3</v>
      </c>
      <c r="D9" s="15">
        <f t="shared" si="5"/>
        <v>0</v>
      </c>
      <c r="E9" s="1" t="str">
        <f t="shared" si="0"/>
        <v>STOP</v>
      </c>
      <c r="F9" s="4">
        <v>7.0800000000000004E-3</v>
      </c>
      <c r="G9" s="1" t="str">
        <f t="shared" si="6"/>
        <v>EURDF6M4=.EONIA</v>
      </c>
      <c r="H9" s="1">
        <f>[1]!realtimeget2(calculate,G9,"VALUE")</f>
        <v>4.5525000000000003E-2</v>
      </c>
      <c r="I9" s="15">
        <f t="shared" si="1"/>
        <v>0</v>
      </c>
      <c r="J9" s="1" t="str">
        <f t="shared" si="2"/>
        <v>STOP</v>
      </c>
      <c r="K9" s="5">
        <v>4.5525000000000003E-2</v>
      </c>
      <c r="L9" s="1" t="str">
        <f t="shared" si="7"/>
        <v>EURDF3M4=.EONIA</v>
      </c>
      <c r="M9" s="1">
        <f>[1]!realtimeget2(calculate,L9,"VALUE")</f>
        <v>0.90300100000000005</v>
      </c>
      <c r="N9" s="15">
        <f t="shared" si="8"/>
        <v>0</v>
      </c>
      <c r="O9" s="1" t="str">
        <f t="shared" si="3"/>
        <v>STOP</v>
      </c>
      <c r="P9" s="5">
        <v>0.90300100000000005</v>
      </c>
    </row>
    <row r="10" spans="1:16">
      <c r="A10" s="1">
        <v>5</v>
      </c>
      <c r="B10" s="1" t="str">
        <f t="shared" si="4"/>
        <v>EURDFSTD5=.EONIA</v>
      </c>
      <c r="C10" s="1">
        <f>[1]!realtimeget2(calculate,B10,"VALUE")</f>
        <v>0.35322599999999998</v>
      </c>
      <c r="D10" s="15">
        <f t="shared" si="5"/>
        <v>0</v>
      </c>
      <c r="E10" s="1" t="str">
        <f t="shared" si="0"/>
        <v>STOP</v>
      </c>
      <c r="F10" s="4">
        <v>0.35322599999999998</v>
      </c>
      <c r="G10" s="1" t="str">
        <f t="shared" si="6"/>
        <v>EURDF6M5=.EONIA</v>
      </c>
      <c r="H10" s="1">
        <f>[1]!realtimeget2(calculate,G10,"VALUE")</f>
        <v>0.72512200000000004</v>
      </c>
      <c r="I10" s="15">
        <f t="shared" si="1"/>
        <v>0</v>
      </c>
      <c r="J10" s="1" t="str">
        <f t="shared" si="2"/>
        <v>STOP</v>
      </c>
      <c r="K10" s="5">
        <v>0.72512200000000004</v>
      </c>
      <c r="L10" s="1" t="str">
        <f t="shared" si="7"/>
        <v>EURDF3M5=.EONIA</v>
      </c>
      <c r="M10" s="1">
        <f>[1]!realtimeget2(calculate,L10,"VALUE")</f>
        <v>0.254471</v>
      </c>
      <c r="N10" s="15">
        <f t="shared" si="8"/>
        <v>0</v>
      </c>
      <c r="O10" s="1" t="str">
        <f t="shared" si="3"/>
        <v>STOP</v>
      </c>
      <c r="P10" s="5">
        <v>0.254471</v>
      </c>
    </row>
    <row r="11" spans="1:16">
      <c r="A11" s="1">
        <v>6</v>
      </c>
      <c r="B11" s="1" t="str">
        <f t="shared" si="4"/>
        <v>EURDFSTD6=.EONIA</v>
      </c>
      <c r="C11" s="1">
        <f>[1]!realtimeget2(calculate,B11,"VALUE")</f>
        <v>0.249116</v>
      </c>
      <c r="D11" s="15">
        <f t="shared" si="5"/>
        <v>0</v>
      </c>
      <c r="E11" s="1" t="str">
        <f t="shared" si="0"/>
        <v>STOP</v>
      </c>
      <c r="F11" s="4">
        <v>0.249116</v>
      </c>
      <c r="G11" s="1" t="str">
        <f t="shared" si="6"/>
        <v>EURDF6M6=.EONIA</v>
      </c>
      <c r="H11" s="1">
        <f>[1]!realtimeget2(calculate,G11,"VALUE")</f>
        <v>0.79924899999999999</v>
      </c>
      <c r="I11" s="15">
        <f t="shared" si="1"/>
        <v>0</v>
      </c>
      <c r="J11" s="1" t="str">
        <f t="shared" si="2"/>
        <v>STOP</v>
      </c>
      <c r="K11" s="5">
        <v>0.79924899999999999</v>
      </c>
      <c r="L11" s="1" t="str">
        <f t="shared" si="7"/>
        <v>EURDF3M6=.EONIA</v>
      </c>
      <c r="M11" s="1">
        <f>[1]!realtimeget2(calculate,L11,"VALUE")</f>
        <v>0.30516100000000002</v>
      </c>
      <c r="N11" s="15">
        <f t="shared" si="8"/>
        <v>0</v>
      </c>
      <c r="O11" s="1" t="str">
        <f t="shared" si="3"/>
        <v>STOP</v>
      </c>
      <c r="P11" s="5">
        <v>0.30516100000000002</v>
      </c>
    </row>
    <row r="12" spans="1:16">
      <c r="A12" s="1">
        <v>7</v>
      </c>
      <c r="B12" s="1" t="str">
        <f t="shared" si="4"/>
        <v>EURDFSTD7=.EONIA</v>
      </c>
      <c r="C12" s="1">
        <f>[1]!realtimeget2(calculate,B12,"VALUE")</f>
        <v>0.72949299999999995</v>
      </c>
      <c r="D12" s="15">
        <f t="shared" si="5"/>
        <v>0</v>
      </c>
      <c r="E12" s="1" t="str">
        <f t="shared" si="0"/>
        <v>STOP</v>
      </c>
      <c r="F12" s="4">
        <v>0.72949299999999995</v>
      </c>
      <c r="G12" s="1" t="str">
        <f t="shared" si="6"/>
        <v>EURDF6M7=.EONIA</v>
      </c>
      <c r="H12" s="1">
        <f>[1]!realtimeget2(calculate,G12,"VALUE")</f>
        <v>0.707376</v>
      </c>
      <c r="I12" s="15">
        <f t="shared" si="1"/>
        <v>0</v>
      </c>
      <c r="J12" s="1" t="str">
        <f t="shared" si="2"/>
        <v>STOP</v>
      </c>
      <c r="K12" s="5">
        <v>0.707376</v>
      </c>
      <c r="L12" s="1" t="str">
        <f t="shared" si="7"/>
        <v>EURDF3M7=.EONIA</v>
      </c>
      <c r="M12" s="1">
        <f>[1]!realtimeget2(calculate,L12,"VALUE")</f>
        <v>0.58631999999999995</v>
      </c>
      <c r="N12" s="15">
        <f t="shared" si="8"/>
        <v>0</v>
      </c>
      <c r="O12" s="1" t="str">
        <f t="shared" si="3"/>
        <v>STOP</v>
      </c>
      <c r="P12" s="5">
        <v>0.58631999999999995</v>
      </c>
    </row>
    <row r="13" spans="1:16">
      <c r="A13" s="1">
        <v>8</v>
      </c>
      <c r="B13" s="1" t="str">
        <f t="shared" si="4"/>
        <v>EURDFSTD8=.EONIA</v>
      </c>
      <c r="C13" s="1">
        <f>[1]!realtimeget2(calculate,B13,"VALUE")</f>
        <v>0.961839</v>
      </c>
      <c r="D13" s="15">
        <f t="shared" si="5"/>
        <v>0</v>
      </c>
      <c r="E13" s="1" t="str">
        <f t="shared" si="0"/>
        <v>STOP</v>
      </c>
      <c r="F13" s="4">
        <v>0.961839</v>
      </c>
      <c r="G13" s="1" t="str">
        <f t="shared" si="6"/>
        <v>EURDF6M8=.EONIA</v>
      </c>
      <c r="H13" s="1">
        <f>[1]!realtimeget2(calculate,G13,"VALUE")</f>
        <v>0.79712799999999995</v>
      </c>
      <c r="I13" s="15">
        <f t="shared" si="1"/>
        <v>0</v>
      </c>
      <c r="J13" s="1" t="str">
        <f t="shared" si="2"/>
        <v>STOP</v>
      </c>
      <c r="K13" s="5">
        <v>0.79712799999999995</v>
      </c>
      <c r="L13" s="1" t="str">
        <f t="shared" si="7"/>
        <v>EURDF3M8=.EONIA</v>
      </c>
      <c r="M13" s="1">
        <f>[1]!realtimeget2(calculate,L13,"VALUE")</f>
        <v>0.47294700000000001</v>
      </c>
      <c r="N13" s="15">
        <f t="shared" si="8"/>
        <v>0</v>
      </c>
      <c r="O13" s="1" t="str">
        <f t="shared" si="3"/>
        <v>STOP</v>
      </c>
      <c r="P13" s="5">
        <v>0.47294700000000001</v>
      </c>
    </row>
    <row r="14" spans="1:16">
      <c r="A14" s="1">
        <v>9</v>
      </c>
      <c r="B14" s="1" t="str">
        <f t="shared" si="4"/>
        <v>EURDFSTD9=.EONIA</v>
      </c>
      <c r="C14" s="1">
        <f>[1]!realtimeget2(calculate,B14,"VALUE")</f>
        <v>0.73127900000000001</v>
      </c>
      <c r="D14" s="15">
        <f t="shared" si="5"/>
        <v>0</v>
      </c>
      <c r="E14" s="1" t="str">
        <f t="shared" si="0"/>
        <v>STOP</v>
      </c>
      <c r="F14" s="4">
        <v>0.73127900000000001</v>
      </c>
      <c r="G14" s="1" t="str">
        <f t="shared" si="6"/>
        <v>EURDF6M9=.EONIA</v>
      </c>
      <c r="H14" s="1">
        <f>[1]!realtimeget2(calculate,G14,"VALUE")</f>
        <v>0.154473</v>
      </c>
      <c r="I14" s="15">
        <f t="shared" si="1"/>
        <v>0</v>
      </c>
      <c r="J14" s="1" t="str">
        <f t="shared" si="2"/>
        <v>STOP</v>
      </c>
      <c r="K14" s="5">
        <v>0.154473</v>
      </c>
      <c r="L14" s="1" t="str">
        <f t="shared" si="7"/>
        <v>EURDF3M9=.EONIA</v>
      </c>
      <c r="M14" s="1">
        <f>[1]!realtimeget2(calculate,L14,"VALUE")</f>
        <v>0.240448</v>
      </c>
      <c r="N14" s="15">
        <f t="shared" si="8"/>
        <v>0</v>
      </c>
      <c r="O14" s="1" t="str">
        <f t="shared" si="3"/>
        <v>STOP</v>
      </c>
      <c r="P14" s="5">
        <v>0.240448</v>
      </c>
    </row>
    <row r="15" spans="1:16">
      <c r="A15" s="1">
        <v>10</v>
      </c>
      <c r="B15" s="1" t="str">
        <f t="shared" si="4"/>
        <v>EURDFSTD10=.EONIA</v>
      </c>
      <c r="C15" s="1">
        <f>[1]!realtimeget2(calculate,B15,"VALUE")</f>
        <v>0.18237400000000001</v>
      </c>
      <c r="D15" s="15">
        <f t="shared" si="5"/>
        <v>0</v>
      </c>
      <c r="E15" s="1" t="str">
        <f t="shared" si="0"/>
        <v>STOP</v>
      </c>
      <c r="F15" s="4">
        <v>0.18237400000000001</v>
      </c>
      <c r="G15" s="1" t="str">
        <f t="shared" si="6"/>
        <v>EURDF6M10=.EONIA</v>
      </c>
      <c r="H15" s="1">
        <f>[1]!realtimeget2(calculate,G15,"VALUE")</f>
        <v>0.48250700000000002</v>
      </c>
      <c r="I15" s="15">
        <f t="shared" si="1"/>
        <v>0</v>
      </c>
      <c r="J15" s="1" t="str">
        <f t="shared" si="2"/>
        <v>STOP</v>
      </c>
      <c r="K15" s="5">
        <v>0.48250700000000002</v>
      </c>
      <c r="L15" s="1" t="str">
        <f t="shared" si="7"/>
        <v>EURDF3M10=.EONIA</v>
      </c>
      <c r="M15" s="1">
        <f>[1]!realtimeget2(calculate,L15,"VALUE")</f>
        <v>0.38879399999999997</v>
      </c>
      <c r="N15" s="15">
        <f t="shared" si="8"/>
        <v>0</v>
      </c>
      <c r="O15" s="1" t="str">
        <f t="shared" si="3"/>
        <v>STOP</v>
      </c>
      <c r="P15" s="5">
        <v>0.38879399999999997</v>
      </c>
    </row>
    <row r="16" spans="1:16">
      <c r="A16" s="1">
        <v>11</v>
      </c>
      <c r="B16" s="1" t="str">
        <f t="shared" si="4"/>
        <v>EURDFSTD11=.EONIA</v>
      </c>
      <c r="C16" s="1">
        <f>[1]!realtimeget2(calculate,B16,"VALUE")</f>
        <v>0.93228299999999997</v>
      </c>
      <c r="D16" s="15">
        <f t="shared" si="5"/>
        <v>0</v>
      </c>
      <c r="E16" s="1" t="str">
        <f t="shared" si="0"/>
        <v>STOP</v>
      </c>
      <c r="F16" s="4">
        <v>0.93228299999999997</v>
      </c>
      <c r="G16" s="1" t="str">
        <f t="shared" si="6"/>
        <v>EURDF6M11=.EONIA</v>
      </c>
      <c r="H16" s="1">
        <f>[1]!realtimeget2(calculate,G16,"VALUE")</f>
        <v>0.89844599999999997</v>
      </c>
      <c r="I16" s="15">
        <f t="shared" si="1"/>
        <v>0</v>
      </c>
      <c r="J16" s="1" t="str">
        <f t="shared" si="2"/>
        <v>STOP</v>
      </c>
      <c r="K16" s="5">
        <v>0.89844599999999997</v>
      </c>
      <c r="L16" s="1" t="str">
        <f t="shared" si="7"/>
        <v>EURDF3M11=.EONIA</v>
      </c>
      <c r="M16" s="1">
        <f>[1]!realtimeget2(calculate,L16,"VALUE")</f>
        <v>0.65042199999999994</v>
      </c>
      <c r="N16" s="15">
        <f t="shared" si="8"/>
        <v>0</v>
      </c>
      <c r="O16" s="1" t="str">
        <f t="shared" si="3"/>
        <v>STOP</v>
      </c>
      <c r="P16" s="5">
        <v>0.65042199999999994</v>
      </c>
    </row>
    <row r="17" spans="1:16">
      <c r="A17" s="1">
        <v>12</v>
      </c>
      <c r="B17" s="1" t="str">
        <f t="shared" si="4"/>
        <v>EURDFSTD12=.EONIA</v>
      </c>
      <c r="C17" s="1">
        <f>[1]!realtimeget2(calculate,B17,"VALUE")</f>
        <v>0.94000399999999995</v>
      </c>
      <c r="D17" s="15">
        <f t="shared" si="5"/>
        <v>0</v>
      </c>
      <c r="E17" s="1" t="str">
        <f t="shared" si="0"/>
        <v>STOP</v>
      </c>
      <c r="F17" s="4">
        <v>0.94000399999999995</v>
      </c>
      <c r="G17" s="1" t="str">
        <f t="shared" si="6"/>
        <v>EURDF6M12=.EONIA</v>
      </c>
      <c r="H17" s="1">
        <f>[1]!realtimeget2(calculate,G17,"VALUE")</f>
        <v>0.81438600000000005</v>
      </c>
      <c r="I17" s="15">
        <f t="shared" si="1"/>
        <v>0</v>
      </c>
      <c r="J17" s="1" t="str">
        <f t="shared" si="2"/>
        <v>STOP</v>
      </c>
      <c r="K17" s="5">
        <v>0.81438600000000005</v>
      </c>
      <c r="L17" s="1" t="str">
        <f t="shared" si="7"/>
        <v>EURDF3M12=.EONIA</v>
      </c>
      <c r="M17" s="1">
        <f>[1]!realtimeget2(calculate,L17,"VALUE")</f>
        <v>0.769486</v>
      </c>
      <c r="N17" s="15">
        <f t="shared" si="8"/>
        <v>0</v>
      </c>
      <c r="O17" s="1" t="str">
        <f t="shared" si="3"/>
        <v>STOP</v>
      </c>
      <c r="P17" s="5">
        <v>0.769486</v>
      </c>
    </row>
    <row r="18" spans="1:16">
      <c r="A18" s="1">
        <v>13</v>
      </c>
      <c r="B18" s="1" t="str">
        <f t="shared" si="4"/>
        <v>EURDFSTD13=.EONIA</v>
      </c>
      <c r="C18" s="1">
        <f>[1]!realtimeget2(calculate,B18,"VALUE")</f>
        <v>0.14888000000000001</v>
      </c>
      <c r="D18" s="15">
        <f t="shared" si="5"/>
        <v>0</v>
      </c>
      <c r="E18" s="1" t="str">
        <f t="shared" si="0"/>
        <v>STOP</v>
      </c>
      <c r="F18" s="4">
        <v>0.14888000000000001</v>
      </c>
      <c r="G18" s="1" t="str">
        <f t="shared" si="6"/>
        <v>EURDF6M13=.EONIA</v>
      </c>
      <c r="H18" s="1">
        <f>[1]!realtimeget2(calculate,G18,"VALUE")</f>
        <v>0.47444999999999998</v>
      </c>
      <c r="I18" s="15">
        <f t="shared" si="1"/>
        <v>0</v>
      </c>
      <c r="J18" s="1" t="str">
        <f t="shared" si="2"/>
        <v>STOP</v>
      </c>
      <c r="K18" s="5">
        <v>0.47444999999999998</v>
      </c>
      <c r="L18" s="1" t="str">
        <f t="shared" si="7"/>
        <v>EURDF3M13=.EONIA</v>
      </c>
      <c r="M18" s="1">
        <f>[1]!realtimeget2(calculate,L18,"VALUE")</f>
        <v>0.64245699999999994</v>
      </c>
      <c r="N18" s="15">
        <f t="shared" si="8"/>
        <v>0</v>
      </c>
      <c r="O18" s="1" t="str">
        <f t="shared" si="3"/>
        <v>STOP</v>
      </c>
      <c r="P18" s="5">
        <v>0.64245699999999994</v>
      </c>
    </row>
    <row r="19" spans="1:16">
      <c r="A19" s="1">
        <v>14</v>
      </c>
      <c r="B19" s="1" t="str">
        <f t="shared" si="4"/>
        <v>EURDFSTD14=.EONIA</v>
      </c>
      <c r="C19" s="1">
        <f>[1]!realtimeget2(calculate,B19,"VALUE")</f>
        <v>0.15856999999999999</v>
      </c>
      <c r="D19" s="15">
        <f t="shared" si="5"/>
        <v>0</v>
      </c>
      <c r="E19" s="1" t="str">
        <f t="shared" si="0"/>
        <v>STOP</v>
      </c>
      <c r="F19" s="4">
        <v>0.15856999999999999</v>
      </c>
      <c r="G19" s="1" t="str">
        <f t="shared" si="6"/>
        <v>EURDF6M14=.EONIA</v>
      </c>
      <c r="H19" s="1">
        <f>[1]!realtimeget2(calculate,G19,"VALUE")</f>
        <v>0.64820199999999994</v>
      </c>
      <c r="I19" s="15">
        <f t="shared" si="1"/>
        <v>0</v>
      </c>
      <c r="J19" s="1" t="str">
        <f t="shared" si="2"/>
        <v>STOP</v>
      </c>
      <c r="K19" s="5">
        <v>0.64820199999999994</v>
      </c>
      <c r="L19" s="1" t="str">
        <f t="shared" si="7"/>
        <v>EURDF3M14=.EONIA</v>
      </c>
      <c r="M19" s="1">
        <f>[1]!realtimeget2(calculate,L19,"VALUE")</f>
        <v>0.749803</v>
      </c>
      <c r="N19" s="15">
        <f t="shared" si="8"/>
        <v>0</v>
      </c>
      <c r="O19" s="1" t="str">
        <f t="shared" si="3"/>
        <v>STOP</v>
      </c>
      <c r="P19" s="5">
        <v>0.749803</v>
      </c>
    </row>
    <row r="20" spans="1:16">
      <c r="A20" s="1">
        <v>15</v>
      </c>
      <c r="B20" s="1" t="str">
        <f t="shared" si="4"/>
        <v>EURDFSTD15=.EONIA</v>
      </c>
      <c r="C20" s="1">
        <f>[1]!realtimeget2(calculate,B20,"VALUE")</f>
        <v>0.78544700000000001</v>
      </c>
      <c r="D20" s="15">
        <f t="shared" si="5"/>
        <v>0</v>
      </c>
      <c r="E20" s="1" t="str">
        <f t="shared" si="0"/>
        <v>STOP</v>
      </c>
      <c r="F20" s="4">
        <v>0.78544700000000001</v>
      </c>
      <c r="G20" s="1" t="str">
        <f t="shared" si="6"/>
        <v>EURDF6M15=.EONIA</v>
      </c>
      <c r="H20" s="1">
        <f>[1]!realtimeget2(calculate,G20,"VALUE")</f>
        <v>0.42154799999999998</v>
      </c>
      <c r="I20" s="15">
        <f t="shared" si="1"/>
        <v>0</v>
      </c>
      <c r="J20" s="1" t="str">
        <f t="shared" si="2"/>
        <v>STOP</v>
      </c>
      <c r="K20" s="5">
        <v>0.42154799999999998</v>
      </c>
      <c r="L20" s="1" t="str">
        <f t="shared" si="7"/>
        <v>EURDF3M15=.EONIA</v>
      </c>
      <c r="M20" s="1">
        <f>[1]!realtimeget2(calculate,L20,"VALUE")</f>
        <v>0.81027300000000002</v>
      </c>
      <c r="N20" s="15">
        <f t="shared" si="8"/>
        <v>0</v>
      </c>
      <c r="O20" s="1" t="str">
        <f t="shared" si="3"/>
        <v>STOP</v>
      </c>
      <c r="P20" s="5">
        <v>0.81027300000000002</v>
      </c>
    </row>
    <row r="21" spans="1:16">
      <c r="A21" s="1">
        <v>16</v>
      </c>
      <c r="B21" s="1" t="str">
        <f t="shared" si="4"/>
        <v>EURDFSTD16=.EONIA</v>
      </c>
      <c r="C21" s="1">
        <f>[1]!realtimeget2(calculate,B21,"VALUE")</f>
        <v>0.55294900000000002</v>
      </c>
      <c r="D21" s="15">
        <f t="shared" si="5"/>
        <v>0</v>
      </c>
      <c r="E21" s="1" t="str">
        <f t="shared" si="0"/>
        <v>STOP</v>
      </c>
      <c r="F21" s="4">
        <v>0.55294900000000002</v>
      </c>
      <c r="G21" s="1" t="str">
        <f t="shared" si="6"/>
        <v>EURDF6M16=.EONIA</v>
      </c>
      <c r="H21" s="1">
        <f>[1]!realtimeget2(calculate,G21,"VALUE")</f>
        <v>0.45464399999999999</v>
      </c>
      <c r="I21" s="15">
        <f t="shared" ref="I21:I55" si="9">H21-K21</f>
        <v>0</v>
      </c>
      <c r="J21" s="1" t="str">
        <f t="shared" si="2"/>
        <v>STOP</v>
      </c>
      <c r="K21" s="5">
        <v>0.45464399999999999</v>
      </c>
      <c r="L21" s="1" t="str">
        <f t="shared" si="7"/>
        <v>EURDF3M16=.EONIA</v>
      </c>
      <c r="M21" s="1">
        <f>[1]!realtimeget2(calculate,L21,"VALUE")</f>
        <v>0.51330600000000004</v>
      </c>
      <c r="N21" s="15">
        <f t="shared" si="8"/>
        <v>0</v>
      </c>
      <c r="O21" s="1" t="str">
        <f t="shared" si="3"/>
        <v>STOP</v>
      </c>
      <c r="P21" s="5">
        <v>0.51330600000000004</v>
      </c>
    </row>
    <row r="22" spans="1:16">
      <c r="A22" s="1">
        <v>17</v>
      </c>
      <c r="B22" s="1" t="str">
        <f t="shared" si="4"/>
        <v>EURDFSTD17=.EONIA</v>
      </c>
      <c r="C22" s="1">
        <f>[1]!realtimeget2(calculate,B22,"VALUE")</f>
        <v>0.75210699999999997</v>
      </c>
      <c r="D22" s="15">
        <f t="shared" si="5"/>
        <v>0</v>
      </c>
      <c r="E22" s="1" t="str">
        <f t="shared" si="0"/>
        <v>STOP</v>
      </c>
      <c r="F22" s="4">
        <v>0.75210699999999997</v>
      </c>
      <c r="G22" s="1" t="str">
        <f t="shared" si="6"/>
        <v>EURDF6M17=.EONIA</v>
      </c>
      <c r="H22" s="1">
        <f>[1]!realtimeget2(calculate,G22,"VALUE")</f>
        <v>0.72799000000000003</v>
      </c>
      <c r="I22" s="15">
        <f t="shared" si="9"/>
        <v>0</v>
      </c>
      <c r="J22" s="1" t="str">
        <f t="shared" si="2"/>
        <v>STOP</v>
      </c>
      <c r="K22" s="5">
        <v>0.72799000000000003</v>
      </c>
      <c r="L22" s="1" t="str">
        <f t="shared" si="7"/>
        <v>EURDF3M17=.EONIA</v>
      </c>
      <c r="M22" s="1">
        <f>[1]!realtimeget2(calculate,L22,"VALUE")</f>
        <v>0.33155899999999999</v>
      </c>
      <c r="N22" s="15">
        <f t="shared" si="8"/>
        <v>0</v>
      </c>
      <c r="O22" s="1" t="str">
        <f t="shared" si="3"/>
        <v>STOP</v>
      </c>
      <c r="P22" s="5">
        <v>0.33155899999999999</v>
      </c>
    </row>
    <row r="23" spans="1:16">
      <c r="A23" s="1">
        <v>18</v>
      </c>
      <c r="B23" s="1" t="str">
        <f t="shared" si="4"/>
        <v>EURDFSTD18=.EONIA</v>
      </c>
      <c r="C23" s="1">
        <f>[1]!realtimeget2(calculate,B23,"VALUE")</f>
        <v>0.97310799999999997</v>
      </c>
      <c r="D23" s="15">
        <f t="shared" si="5"/>
        <v>0</v>
      </c>
      <c r="E23" s="1" t="str">
        <f t="shared" si="0"/>
        <v>STOP</v>
      </c>
      <c r="F23" s="4">
        <v>0.97310799999999997</v>
      </c>
      <c r="G23" s="1" t="str">
        <f t="shared" si="6"/>
        <v>EURDF6M18=.EONIA</v>
      </c>
      <c r="H23" s="1">
        <f>[1]!realtimeget2(calculate,G23,"VALUE")</f>
        <v>0.67127300000000001</v>
      </c>
      <c r="I23" s="15">
        <f t="shared" si="9"/>
        <v>0</v>
      </c>
      <c r="J23" s="1" t="str">
        <f t="shared" si="2"/>
        <v>STOP</v>
      </c>
      <c r="K23" s="5">
        <v>0.67127300000000001</v>
      </c>
      <c r="L23" s="1" t="str">
        <f t="shared" si="7"/>
        <v>EURDF3M18=.EONIA</v>
      </c>
      <c r="M23" s="1">
        <f>[1]!realtimeget2(calculate,L23,"VALUE")</f>
        <v>0.33537400000000001</v>
      </c>
      <c r="N23" s="15">
        <f t="shared" si="8"/>
        <v>0</v>
      </c>
      <c r="O23" s="1" t="str">
        <f t="shared" si="3"/>
        <v>STOP</v>
      </c>
      <c r="P23" s="5">
        <v>0.33537400000000001</v>
      </c>
    </row>
    <row r="24" spans="1:16">
      <c r="A24" s="1">
        <v>19</v>
      </c>
      <c r="B24" s="1" t="str">
        <f t="shared" si="4"/>
        <v>EURDFSTD19=.EONIA</v>
      </c>
      <c r="C24" s="1">
        <f>[1]!realtimeget2(calculate,B24,"VALUE")</f>
        <v>0.281609</v>
      </c>
      <c r="D24" s="15">
        <f t="shared" si="5"/>
        <v>0</v>
      </c>
      <c r="E24" s="1" t="str">
        <f t="shared" si="0"/>
        <v>STOP</v>
      </c>
      <c r="F24" s="4">
        <v>0.281609</v>
      </c>
      <c r="G24" s="1" t="str">
        <f t="shared" si="6"/>
        <v>EURDF6M19=.EONIA</v>
      </c>
      <c r="H24" s="1">
        <f>[1]!realtimeget2(calculate,G24,"VALUE")</f>
        <v>0.79618199999999995</v>
      </c>
      <c r="I24" s="15">
        <f t="shared" si="9"/>
        <v>0</v>
      </c>
      <c r="J24" s="1" t="str">
        <f t="shared" si="2"/>
        <v>STOP</v>
      </c>
      <c r="K24" s="5">
        <v>0.79618199999999995</v>
      </c>
      <c r="L24" s="1" t="str">
        <f t="shared" si="7"/>
        <v>EURDF3M19=.EONIA</v>
      </c>
      <c r="M24" s="1">
        <f>[1]!realtimeget2(calculate,L24,"VALUE")</f>
        <v>0.22787499999999999</v>
      </c>
      <c r="N24" s="15">
        <f t="shared" si="8"/>
        <v>0</v>
      </c>
      <c r="O24" s="1" t="str">
        <f t="shared" si="3"/>
        <v>STOP</v>
      </c>
      <c r="P24" s="5">
        <v>0.22787499999999999</v>
      </c>
    </row>
    <row r="25" spans="1:16">
      <c r="A25" s="1">
        <v>20</v>
      </c>
      <c r="B25" s="1" t="str">
        <f t="shared" si="4"/>
        <v>EURDFSTD20=.EONIA</v>
      </c>
      <c r="C25" s="1">
        <f>[1]!realtimeget2(calculate,B25,"VALUE")</f>
        <v>0.52764200000000006</v>
      </c>
      <c r="D25" s="15">
        <f t="shared" si="5"/>
        <v>0</v>
      </c>
      <c r="E25" s="1" t="str">
        <f t="shared" si="0"/>
        <v>STOP</v>
      </c>
      <c r="F25" s="4">
        <v>0.52764200000000006</v>
      </c>
      <c r="G25" s="1" t="str">
        <f t="shared" si="6"/>
        <v>EURDF6M20=.EONIA</v>
      </c>
      <c r="H25" s="1">
        <f>[1]!realtimeget2(calculate,G25,"VALUE")</f>
        <v>0.43868299999999999</v>
      </c>
      <c r="I25" s="15">
        <f t="shared" si="9"/>
        <v>0</v>
      </c>
      <c r="J25" s="1" t="str">
        <f t="shared" si="2"/>
        <v>STOP</v>
      </c>
      <c r="K25" s="5">
        <v>0.43868299999999999</v>
      </c>
      <c r="L25" s="1" t="str">
        <f t="shared" si="7"/>
        <v>EURDF3M20=.EONIA</v>
      </c>
      <c r="M25" s="1">
        <f>[1]!realtimeget2(calculate,L25,"VALUE")</f>
        <v>0.76293999999999995</v>
      </c>
      <c r="N25" s="15">
        <f t="shared" si="8"/>
        <v>0</v>
      </c>
      <c r="O25" s="1" t="str">
        <f t="shared" si="3"/>
        <v>STOP</v>
      </c>
      <c r="P25" s="5">
        <v>0.76293999999999995</v>
      </c>
    </row>
    <row r="26" spans="1:16">
      <c r="A26" s="1">
        <v>21</v>
      </c>
      <c r="B26" s="1" t="str">
        <f t="shared" si="4"/>
        <v>EURDFSTD21=.EONIA</v>
      </c>
      <c r="C26" s="1">
        <f>[1]!realtimeget2(calculate,B26,"VALUE")</f>
        <v>0.24826899999999999</v>
      </c>
      <c r="D26" s="15">
        <f t="shared" si="5"/>
        <v>0</v>
      </c>
      <c r="E26" s="1" t="str">
        <f t="shared" si="0"/>
        <v>STOP</v>
      </c>
      <c r="F26" s="4">
        <v>0.24826899999999999</v>
      </c>
      <c r="G26" s="1" t="str">
        <f t="shared" si="6"/>
        <v>EURDF6M21=.EONIA</v>
      </c>
      <c r="H26" s="1">
        <f>[1]!realtimeget2(calculate,G26,"VALUE")</f>
        <v>0.163216</v>
      </c>
      <c r="I26" s="15">
        <f t="shared" si="9"/>
        <v>0</v>
      </c>
      <c r="J26" s="1" t="str">
        <f t="shared" si="2"/>
        <v>STOP</v>
      </c>
      <c r="K26" s="5">
        <v>0.163216</v>
      </c>
      <c r="L26" s="1" t="str">
        <f t="shared" si="7"/>
        <v>EURDF3M21=.EONIA</v>
      </c>
      <c r="M26" s="1">
        <f>[1]!realtimeget2(calculate,L26,"VALUE")</f>
        <v>0.38200400000000001</v>
      </c>
      <c r="N26" s="15">
        <f t="shared" si="8"/>
        <v>0</v>
      </c>
      <c r="O26" s="1" t="str">
        <f t="shared" si="3"/>
        <v>STOP</v>
      </c>
      <c r="P26" s="5">
        <v>0.38200400000000001</v>
      </c>
    </row>
    <row r="27" spans="1:16">
      <c r="A27" s="1">
        <v>22</v>
      </c>
      <c r="B27" s="1" t="str">
        <f t="shared" si="4"/>
        <v>EURDFSTD22=.EONIA</v>
      </c>
      <c r="C27" s="1">
        <f>[1]!realtimeget2(calculate,B27,"VALUE")</f>
        <v>0.15052099999999999</v>
      </c>
      <c r="D27" s="15">
        <f t="shared" si="5"/>
        <v>0</v>
      </c>
      <c r="E27" s="1" t="str">
        <f t="shared" si="0"/>
        <v>STOP</v>
      </c>
      <c r="F27" s="4">
        <v>0.15052099999999999</v>
      </c>
      <c r="G27" s="1" t="str">
        <f t="shared" si="6"/>
        <v>EURDF6M22=.EONIA</v>
      </c>
      <c r="H27" s="1">
        <f>[1]!realtimeget2(calculate,G27,"VALUE")</f>
        <v>0.80765600000000004</v>
      </c>
      <c r="I27" s="15">
        <f t="shared" si="9"/>
        <v>0</v>
      </c>
      <c r="J27" s="1" t="str">
        <f t="shared" si="2"/>
        <v>STOP</v>
      </c>
      <c r="K27" s="5">
        <v>0.80765600000000004</v>
      </c>
      <c r="L27" s="1" t="str">
        <f t="shared" si="7"/>
        <v>EURDF3M22=.EONIA</v>
      </c>
      <c r="M27" s="1">
        <f>[1]!realtimeget2(calculate,L27,"VALUE")</f>
        <v>0.229569</v>
      </c>
      <c r="N27" s="15">
        <f t="shared" si="8"/>
        <v>0</v>
      </c>
      <c r="O27" s="1" t="str">
        <f t="shared" si="3"/>
        <v>STOP</v>
      </c>
      <c r="P27" s="5">
        <v>0.229569</v>
      </c>
    </row>
    <row r="28" spans="1:16">
      <c r="A28" s="1">
        <v>23</v>
      </c>
      <c r="B28" s="1" t="str">
        <f t="shared" si="4"/>
        <v>EURDFSTD23=.EONIA</v>
      </c>
      <c r="C28" s="1">
        <f>[1]!realtimeget2(calculate,B28,"VALUE")</f>
        <v>0.42583500000000002</v>
      </c>
      <c r="D28" s="15">
        <f t="shared" si="5"/>
        <v>0</v>
      </c>
      <c r="E28" s="1" t="str">
        <f t="shared" si="0"/>
        <v>STOP</v>
      </c>
      <c r="F28" s="4">
        <v>0.42583500000000002</v>
      </c>
      <c r="G28" s="1" t="str">
        <f t="shared" si="6"/>
        <v>EURDF6M23=.EONIA</v>
      </c>
      <c r="H28" s="1">
        <f>[1]!realtimeget2(calculate,G28,"VALUE")</f>
        <v>0.91890799999999995</v>
      </c>
      <c r="I28" s="15">
        <f t="shared" si="9"/>
        <v>0</v>
      </c>
      <c r="J28" s="1" t="str">
        <f t="shared" si="2"/>
        <v>STOP</v>
      </c>
      <c r="K28" s="5">
        <v>0.91890799999999995</v>
      </c>
      <c r="L28" s="1" t="str">
        <f t="shared" si="7"/>
        <v>EURDF3M23=.EONIA</v>
      </c>
      <c r="M28" s="1">
        <f>[1]!realtimeget2(calculate,L28,"VALUE")</f>
        <v>0.55175799999999997</v>
      </c>
      <c r="N28" s="15">
        <f t="shared" si="8"/>
        <v>0</v>
      </c>
      <c r="O28" s="1" t="str">
        <f t="shared" si="3"/>
        <v>STOP</v>
      </c>
      <c r="P28" s="5">
        <v>0.55175799999999997</v>
      </c>
    </row>
    <row r="29" spans="1:16">
      <c r="A29" s="1">
        <v>24</v>
      </c>
      <c r="B29" s="1" t="str">
        <f t="shared" si="4"/>
        <v>EURDFSTD24=.EONIA</v>
      </c>
      <c r="C29" s="1">
        <f>[1]!realtimeget2(calculate,B29,"VALUE")</f>
        <v>0.34761900000000001</v>
      </c>
      <c r="D29" s="15">
        <f t="shared" si="5"/>
        <v>0</v>
      </c>
      <c r="E29" s="1" t="str">
        <f t="shared" si="0"/>
        <v>STOP</v>
      </c>
      <c r="F29" s="4">
        <v>0.34761900000000001</v>
      </c>
      <c r="G29" s="1" t="str">
        <f t="shared" si="6"/>
        <v>EURDF6M24=.EONIA</v>
      </c>
      <c r="H29" s="1">
        <f>[1]!realtimeget2(calculate,G29,"VALUE")</f>
        <v>0.76256699999999999</v>
      </c>
      <c r="I29" s="15">
        <f t="shared" si="9"/>
        <v>0</v>
      </c>
      <c r="J29" s="1" t="str">
        <f t="shared" si="2"/>
        <v>STOP</v>
      </c>
      <c r="K29" s="5">
        <v>0.76256699999999999</v>
      </c>
      <c r="L29" s="1" t="str">
        <f t="shared" si="7"/>
        <v>EURDF3M24=.EONIA</v>
      </c>
      <c r="M29" s="1">
        <f>[1]!realtimeget2(calculate,L29,"VALUE")</f>
        <v>0.67276100000000005</v>
      </c>
      <c r="N29" s="15">
        <f t="shared" si="8"/>
        <v>0</v>
      </c>
      <c r="O29" s="1" t="str">
        <f t="shared" si="3"/>
        <v>STOP</v>
      </c>
      <c r="P29" s="5">
        <v>0.67276100000000005</v>
      </c>
    </row>
    <row r="30" spans="1:16">
      <c r="A30" s="1">
        <v>25</v>
      </c>
      <c r="B30" s="1" t="str">
        <f t="shared" si="4"/>
        <v>EURDFSTD25=.EONIA</v>
      </c>
      <c r="C30" s="1">
        <f>[1]!realtimeget2(calculate,B30,"VALUE")</f>
        <v>0.382683</v>
      </c>
      <c r="D30" s="15">
        <f t="shared" si="5"/>
        <v>0</v>
      </c>
      <c r="E30" s="1" t="str">
        <f t="shared" si="0"/>
        <v>STOP</v>
      </c>
      <c r="F30" s="4">
        <v>0.382683</v>
      </c>
      <c r="G30" s="1" t="str">
        <f t="shared" si="6"/>
        <v>EURDF6M25=.EONIA</v>
      </c>
      <c r="H30" s="1">
        <f>[1]!realtimeget2(calculate,G30,"VALUE")</f>
        <v>0.46756799999999998</v>
      </c>
      <c r="I30" s="15">
        <f t="shared" si="9"/>
        <v>0</v>
      </c>
      <c r="J30" s="1" t="str">
        <f t="shared" si="2"/>
        <v>STOP</v>
      </c>
      <c r="K30" s="5">
        <v>0.46756799999999998</v>
      </c>
      <c r="L30" s="1" t="str">
        <f t="shared" si="7"/>
        <v>EURDF3M25=.EONIA</v>
      </c>
      <c r="M30" s="1">
        <f>[1]!realtimeget2(calculate,L30,"VALUE")</f>
        <v>0.61641800000000002</v>
      </c>
      <c r="N30" s="15">
        <f t="shared" si="8"/>
        <v>0</v>
      </c>
      <c r="O30" s="1" t="str">
        <f t="shared" si="3"/>
        <v>STOP</v>
      </c>
      <c r="P30" s="5">
        <v>0.61641800000000002</v>
      </c>
    </row>
    <row r="31" spans="1:16">
      <c r="A31" s="1">
        <v>26</v>
      </c>
      <c r="B31" s="1" t="str">
        <f t="shared" si="4"/>
        <v>EURDFSTD26=.EONIA</v>
      </c>
      <c r="C31" s="1">
        <f>[1]!realtimeget2(calculate,B31,"VALUE")</f>
        <v>0.16187299999999999</v>
      </c>
      <c r="D31" s="15">
        <f t="shared" si="5"/>
        <v>0</v>
      </c>
      <c r="E31" s="1" t="str">
        <f t="shared" si="0"/>
        <v>STOP</v>
      </c>
      <c r="F31" s="4">
        <v>0.16187299999999999</v>
      </c>
      <c r="G31" s="1" t="str">
        <f t="shared" si="6"/>
        <v>EURDF6M26=.EONIA</v>
      </c>
      <c r="H31" s="1">
        <f>[1]!realtimeget2(calculate,G31,"VALUE")</f>
        <v>0.52216399999999996</v>
      </c>
      <c r="I31" s="15">
        <f t="shared" si="9"/>
        <v>0</v>
      </c>
      <c r="J31" s="1" t="str">
        <f t="shared" si="2"/>
        <v>STOP</v>
      </c>
      <c r="K31" s="5">
        <v>0.52216399999999996</v>
      </c>
      <c r="L31" s="1" t="str">
        <f t="shared" si="7"/>
        <v>EURDF3M26=.EONIA</v>
      </c>
      <c r="M31" s="1">
        <f>[1]!realtimeget2(calculate,L31,"VALUE")</f>
        <v>0.56360699999999997</v>
      </c>
      <c r="N31" s="15">
        <f t="shared" si="8"/>
        <v>0</v>
      </c>
      <c r="O31" s="1" t="str">
        <f t="shared" si="3"/>
        <v>STOP</v>
      </c>
      <c r="P31" s="5">
        <v>0.56360699999999997</v>
      </c>
    </row>
    <row r="32" spans="1:16">
      <c r="A32" s="1">
        <v>27</v>
      </c>
      <c r="B32" s="1" t="str">
        <f t="shared" si="4"/>
        <v>EURDFSTD27=.EONIA</v>
      </c>
      <c r="C32" s="1">
        <f>[1]!realtimeget2(calculate,B32,"VALUE")</f>
        <v>0.31218800000000002</v>
      </c>
      <c r="D32" s="15">
        <f t="shared" si="5"/>
        <v>0</v>
      </c>
      <c r="E32" s="1" t="str">
        <f t="shared" si="0"/>
        <v>STOP</v>
      </c>
      <c r="F32" s="4">
        <v>0.31218800000000002</v>
      </c>
      <c r="G32" s="1" t="str">
        <f t="shared" si="6"/>
        <v>EURDF6M27=.EONIA</v>
      </c>
      <c r="H32" s="1">
        <f>[1]!realtimeget2(calculate,G32,"VALUE")</f>
        <v>0.277947</v>
      </c>
      <c r="I32" s="15">
        <f t="shared" si="9"/>
        <v>0</v>
      </c>
      <c r="J32" s="1" t="str">
        <f t="shared" si="2"/>
        <v>STOP</v>
      </c>
      <c r="K32" s="5">
        <v>0.277947</v>
      </c>
      <c r="L32" s="1" t="str">
        <f t="shared" si="7"/>
        <v>EURDF3M27=.EONIA</v>
      </c>
      <c r="M32" s="1">
        <f>[1]!realtimeget2(calculate,L32,"VALUE")</f>
        <v>0.91704699999999995</v>
      </c>
      <c r="N32" s="15">
        <f t="shared" si="8"/>
        <v>0</v>
      </c>
      <c r="O32" s="1" t="str">
        <f t="shared" si="3"/>
        <v>STOP</v>
      </c>
      <c r="P32" s="5">
        <v>0.91704699999999995</v>
      </c>
    </row>
    <row r="33" spans="1:16">
      <c r="A33" s="1">
        <v>28</v>
      </c>
      <c r="B33" s="1" t="str">
        <f t="shared" si="4"/>
        <v>EURDFSTD28=.EONIA</v>
      </c>
      <c r="C33" s="1">
        <f>[1]!realtimeget2(calculate,B33,"VALUE")</f>
        <v>0.20662700000000001</v>
      </c>
      <c r="D33" s="15">
        <f t="shared" si="5"/>
        <v>0</v>
      </c>
      <c r="E33" s="1" t="str">
        <f t="shared" si="0"/>
        <v>STOP</v>
      </c>
      <c r="F33" s="4">
        <v>0.20662700000000001</v>
      </c>
      <c r="G33" s="1" t="str">
        <f t="shared" si="6"/>
        <v>EURDF6M28=.EONIA</v>
      </c>
      <c r="H33" s="1">
        <f>[1]!realtimeget2(calculate,G33,"VALUE")</f>
        <v>0.51844900000000005</v>
      </c>
      <c r="I33" s="15">
        <f t="shared" si="9"/>
        <v>0</v>
      </c>
      <c r="J33" s="1" t="str">
        <f t="shared" si="2"/>
        <v>STOP</v>
      </c>
      <c r="K33" s="5">
        <v>0.51844900000000005</v>
      </c>
      <c r="L33" s="1" t="str">
        <f t="shared" si="7"/>
        <v>EURDF3M28=.EONIA</v>
      </c>
      <c r="M33" s="1">
        <f>[1]!realtimeget2(calculate,L33,"VALUE")</f>
        <v>0.52826799999999996</v>
      </c>
      <c r="N33" s="15">
        <f t="shared" si="8"/>
        <v>0</v>
      </c>
      <c r="O33" s="1" t="str">
        <f t="shared" si="3"/>
        <v>STOP</v>
      </c>
      <c r="P33" s="5">
        <v>0.52826799999999996</v>
      </c>
    </row>
    <row r="34" spans="1:16">
      <c r="A34" s="1">
        <v>29</v>
      </c>
      <c r="B34" s="1" t="str">
        <f t="shared" si="4"/>
        <v>EURDFSTD29=.EONIA</v>
      </c>
      <c r="C34" s="1">
        <f>[1]!realtimeget2(calculate,B34,"VALUE")</f>
        <v>0.94872400000000001</v>
      </c>
      <c r="D34" s="15">
        <f t="shared" si="5"/>
        <v>0</v>
      </c>
      <c r="E34" s="1" t="str">
        <f t="shared" si="0"/>
        <v>STOP</v>
      </c>
      <c r="F34" s="4">
        <v>0.94872400000000001</v>
      </c>
      <c r="G34" s="1" t="str">
        <f t="shared" si="6"/>
        <v>EURDF6M29=.EONIA</v>
      </c>
      <c r="H34" s="1">
        <f>[1]!realtimeget2(calculate,G34,"VALUE")</f>
        <v>0.62966999999999995</v>
      </c>
      <c r="I34" s="15">
        <f t="shared" si="9"/>
        <v>0</v>
      </c>
      <c r="J34" s="1" t="str">
        <f t="shared" si="2"/>
        <v>STOP</v>
      </c>
      <c r="K34" s="5">
        <v>0.62966999999999995</v>
      </c>
      <c r="L34" s="1" t="str">
        <f t="shared" si="7"/>
        <v>EURDF3M29=.EONIA</v>
      </c>
      <c r="M34" s="1">
        <f>[1]!realtimeget2(calculate,L34,"VALUE")</f>
        <v>0.97348900000000005</v>
      </c>
      <c r="N34" s="15">
        <f t="shared" si="8"/>
        <v>0</v>
      </c>
      <c r="O34" s="1" t="str">
        <f t="shared" si="3"/>
        <v>STOP</v>
      </c>
      <c r="P34" s="5">
        <v>0.97348900000000005</v>
      </c>
    </row>
    <row r="35" spans="1:16">
      <c r="A35" s="1">
        <v>30</v>
      </c>
      <c r="B35" s="1" t="str">
        <f t="shared" si="4"/>
        <v>EURDFSTD30=.EONIA</v>
      </c>
      <c r="C35" s="1">
        <f>[1]!realtimeget2(calculate,B35,"VALUE")</f>
        <v>0.65175700000000003</v>
      </c>
      <c r="D35" s="15">
        <f t="shared" si="5"/>
        <v>0</v>
      </c>
      <c r="E35" s="1" t="str">
        <f t="shared" si="0"/>
        <v>STOP</v>
      </c>
      <c r="F35" s="4">
        <v>0.65175700000000003</v>
      </c>
      <c r="G35" s="1" t="str">
        <f t="shared" si="6"/>
        <v>EURDF6M30=.EONIA</v>
      </c>
      <c r="H35" s="1">
        <f>[1]!realtimeget2(calculate,G35,"VALUE")</f>
        <v>0.25263999999999998</v>
      </c>
      <c r="I35" s="15">
        <f t="shared" si="9"/>
        <v>0</v>
      </c>
      <c r="J35" s="1" t="str">
        <f t="shared" si="2"/>
        <v>STOP</v>
      </c>
      <c r="K35" s="5">
        <v>0.25263999999999998</v>
      </c>
      <c r="L35" s="1" t="str">
        <f t="shared" si="7"/>
        <v>EURDF3M30=.EONIA</v>
      </c>
      <c r="M35" s="1">
        <f>[1]!realtimeget2(calculate,L35,"VALUE")</f>
        <v>0.278084</v>
      </c>
      <c r="N35" s="15">
        <f t="shared" si="8"/>
        <v>0</v>
      </c>
      <c r="O35" s="1" t="str">
        <f t="shared" si="3"/>
        <v>STOP</v>
      </c>
      <c r="P35" s="5">
        <v>0.278084</v>
      </c>
    </row>
    <row r="36" spans="1:16">
      <c r="A36" s="1">
        <v>31</v>
      </c>
      <c r="B36" s="1" t="str">
        <f t="shared" si="4"/>
        <v>EURDFSTD31=.EONIA</v>
      </c>
      <c r="C36" s="1">
        <f>[1]!realtimeget2(calculate,B36,"VALUE")</f>
        <v>0.53644599999999998</v>
      </c>
      <c r="D36" s="15">
        <f t="shared" si="5"/>
        <v>0</v>
      </c>
      <c r="E36" s="1" t="str">
        <f t="shared" si="0"/>
        <v>STOP</v>
      </c>
      <c r="F36" s="4">
        <v>0.53644599999999998</v>
      </c>
      <c r="G36" s="1" t="str">
        <f t="shared" si="6"/>
        <v>EURDF6M31=.EONIA</v>
      </c>
      <c r="H36" s="1">
        <f>[1]!realtimeget2(calculate,G36,"VALUE")</f>
        <v>0.40879900000000002</v>
      </c>
      <c r="I36" s="15">
        <f t="shared" si="9"/>
        <v>0</v>
      </c>
      <c r="J36" s="1" t="str">
        <f t="shared" si="2"/>
        <v>STOP</v>
      </c>
      <c r="K36" s="5">
        <v>0.40879900000000002</v>
      </c>
      <c r="L36" s="1" t="str">
        <f t="shared" si="7"/>
        <v>EURDF3M31=.EONIA</v>
      </c>
      <c r="M36" s="1">
        <f>[1]!realtimeget2(calculate,L36,"VALUE")</f>
        <v>0.62174300000000005</v>
      </c>
      <c r="N36" s="15">
        <f t="shared" si="8"/>
        <v>0</v>
      </c>
      <c r="O36" s="1" t="str">
        <f t="shared" si="3"/>
        <v>STOP</v>
      </c>
      <c r="P36" s="5">
        <v>0.62174300000000005</v>
      </c>
    </row>
    <row r="37" spans="1:16">
      <c r="A37" s="1">
        <v>32</v>
      </c>
      <c r="B37" s="1" t="str">
        <f t="shared" si="4"/>
        <v>EURDFSTD32=.EONIA</v>
      </c>
      <c r="C37" s="1">
        <f>[1]!realtimeget2(calculate,B37,"VALUE")</f>
        <v>0.88597999999999999</v>
      </c>
      <c r="D37" s="15">
        <f t="shared" si="5"/>
        <v>0</v>
      </c>
      <c r="E37" s="1" t="str">
        <f t="shared" si="0"/>
        <v>STOP</v>
      </c>
      <c r="F37" s="4">
        <v>0.88597999999999999</v>
      </c>
      <c r="G37" s="1" t="str">
        <f t="shared" si="6"/>
        <v>EURDF6M32=.EONIA</v>
      </c>
      <c r="H37" s="1">
        <f>[1]!realtimeget2(calculate,G37,"VALUE")</f>
        <v>0.855989</v>
      </c>
      <c r="I37" s="15">
        <f t="shared" si="9"/>
        <v>0</v>
      </c>
      <c r="J37" s="1" t="str">
        <f t="shared" si="2"/>
        <v>STOP</v>
      </c>
      <c r="K37" s="5">
        <v>0.855989</v>
      </c>
      <c r="L37" s="1" t="str">
        <f t="shared" si="7"/>
        <v>EURDF3M32=.EONIA</v>
      </c>
      <c r="M37" s="1">
        <f>[1]!realtimeget2(calculate,L37,"VALUE")</f>
        <v>0.44980700000000001</v>
      </c>
      <c r="N37" s="15">
        <f t="shared" si="8"/>
        <v>0</v>
      </c>
      <c r="O37" s="1" t="str">
        <f t="shared" si="3"/>
        <v>STOP</v>
      </c>
      <c r="P37" s="5">
        <v>0.44980700000000001</v>
      </c>
    </row>
    <row r="38" spans="1:16">
      <c r="A38" s="1">
        <v>33</v>
      </c>
      <c r="B38" s="1" t="str">
        <f t="shared" si="4"/>
        <v>EURDFSTD33=.EONIA</v>
      </c>
      <c r="C38" s="1">
        <f>[1]!realtimeget2(calculate,B38,"VALUE")</f>
        <v>0.10660600000000001</v>
      </c>
      <c r="D38" s="15">
        <f t="shared" si="5"/>
        <v>0</v>
      </c>
      <c r="E38" s="1" t="str">
        <f t="shared" si="0"/>
        <v>STOP</v>
      </c>
      <c r="F38" s="4">
        <v>0.10660600000000001</v>
      </c>
      <c r="G38" s="1" t="str">
        <f t="shared" si="6"/>
        <v>EURDF6M33=.EONIA</v>
      </c>
      <c r="H38" s="1">
        <f>[1]!realtimeget2(calculate,G38,"VALUE")</f>
        <v>0.62739599999999995</v>
      </c>
      <c r="I38" s="15">
        <f t="shared" si="9"/>
        <v>0</v>
      </c>
      <c r="J38" s="1" t="str">
        <f t="shared" ref="J38:J55" si="10">UpdateDB(calculate,G38,K38)</f>
        <v>STOP</v>
      </c>
      <c r="K38" s="5">
        <v>0.62739599999999995</v>
      </c>
      <c r="L38" s="1" t="str">
        <f t="shared" si="7"/>
        <v>EURDF3M33=.EONIA</v>
      </c>
      <c r="M38" s="1">
        <f>[1]!realtimeget2(calculate,L38,"VALUE")</f>
        <v>0.199715</v>
      </c>
      <c r="N38" s="15">
        <f t="shared" si="8"/>
        <v>0</v>
      </c>
      <c r="O38" s="1" t="str">
        <f t="shared" si="3"/>
        <v>STOP</v>
      </c>
      <c r="P38" s="5">
        <v>0.199715</v>
      </c>
    </row>
    <row r="39" spans="1:16">
      <c r="A39" s="1">
        <v>34</v>
      </c>
      <c r="B39" s="1" t="str">
        <f t="shared" si="4"/>
        <v>EURDFSTD34=.EONIA</v>
      </c>
      <c r="C39" s="1">
        <f>[1]!realtimeget2(calculate,B39,"VALUE")</f>
        <v>0.61042099999999999</v>
      </c>
      <c r="D39" s="15">
        <f t="shared" si="5"/>
        <v>0</v>
      </c>
      <c r="E39" s="1" t="str">
        <f t="shared" si="0"/>
        <v>STOP</v>
      </c>
      <c r="F39" s="4">
        <v>0.61042099999999999</v>
      </c>
      <c r="G39" s="1" t="str">
        <f t="shared" si="6"/>
        <v>EURDF6M34=.EONIA</v>
      </c>
      <c r="H39" s="1">
        <f>[1]!realtimeget2(calculate,G39,"VALUE")</f>
        <v>0.85974200000000001</v>
      </c>
      <c r="I39" s="15">
        <f t="shared" si="9"/>
        <v>0</v>
      </c>
      <c r="J39" s="1" t="str">
        <f t="shared" si="10"/>
        <v>STOP</v>
      </c>
      <c r="K39" s="5">
        <v>0.85974200000000001</v>
      </c>
      <c r="L39" s="1" t="str">
        <f t="shared" si="7"/>
        <v>EURDF3M34=.EONIA</v>
      </c>
      <c r="M39" s="1">
        <f>[1]!realtimeget2(calculate,L39,"VALUE")</f>
        <v>0.22502900000000001</v>
      </c>
      <c r="N39" s="15">
        <f t="shared" si="8"/>
        <v>0</v>
      </c>
      <c r="O39" s="1" t="str">
        <f t="shared" si="3"/>
        <v>STOP</v>
      </c>
      <c r="P39" s="5">
        <v>0.22502900000000001</v>
      </c>
    </row>
    <row r="40" spans="1:16">
      <c r="A40" s="1">
        <v>35</v>
      </c>
      <c r="B40" s="1" t="str">
        <f t="shared" si="4"/>
        <v>EURDFSTD35=.EONIA</v>
      </c>
      <c r="C40" s="1">
        <f>[1]!realtimeget2(calculate,B40,"VALUE")</f>
        <v>0.49120399999999997</v>
      </c>
      <c r="D40" s="15">
        <f t="shared" si="5"/>
        <v>0</v>
      </c>
      <c r="E40" s="1" t="str">
        <f t="shared" si="0"/>
        <v>STOP</v>
      </c>
      <c r="F40" s="4">
        <v>0.49120399999999997</v>
      </c>
      <c r="G40" s="1" t="str">
        <f t="shared" si="6"/>
        <v>EURDF6M35=.EONIA</v>
      </c>
      <c r="H40" s="1">
        <f>[1]!realtimeget2(calculate,G40,"VALUE")</f>
        <v>0.34989999999999999</v>
      </c>
      <c r="I40" s="15">
        <f t="shared" si="9"/>
        <v>0</v>
      </c>
      <c r="J40" s="1" t="str">
        <f t="shared" si="10"/>
        <v>STOP</v>
      </c>
      <c r="K40" s="5">
        <v>0.34989999999999999</v>
      </c>
      <c r="L40" s="1" t="str">
        <f t="shared" si="7"/>
        <v>EURDF3M35=.EONIA</v>
      </c>
      <c r="M40" s="1">
        <f>[1]!realtimeget2(calculate,L40,"VALUE")</f>
        <v>5.1124999999999997E-2</v>
      </c>
      <c r="N40" s="15">
        <f t="shared" si="8"/>
        <v>0</v>
      </c>
      <c r="O40" s="1" t="str">
        <f t="shared" si="3"/>
        <v>STOP</v>
      </c>
      <c r="P40" s="5">
        <v>5.1124999999999997E-2</v>
      </c>
    </row>
    <row r="41" spans="1:16">
      <c r="A41" s="1">
        <v>36</v>
      </c>
      <c r="G41" s="1" t="str">
        <f>CONCATENATE("EURDF6M",A41,"=.EONIA")</f>
        <v>EURDF6M36=.EONIA</v>
      </c>
      <c r="H41" s="1">
        <f>[1]!realtimeget2(calculate,G41,"VALUE")</f>
        <v>0.95918400000000004</v>
      </c>
      <c r="I41" s="15">
        <f t="shared" si="9"/>
        <v>0</v>
      </c>
      <c r="J41" s="1" t="str">
        <f t="shared" si="10"/>
        <v>STOP</v>
      </c>
      <c r="K41" s="5">
        <v>0.95918400000000004</v>
      </c>
      <c r="L41" s="1" t="str">
        <f t="shared" si="7"/>
        <v>EURDF3M36=.EONIA</v>
      </c>
      <c r="M41" s="1">
        <f>[1]!realtimeget2(calculate,L41,"VALUE")</f>
        <v>0.65456499999999995</v>
      </c>
      <c r="N41" s="15">
        <f t="shared" si="8"/>
        <v>0</v>
      </c>
      <c r="O41" s="1" t="str">
        <f t="shared" si="3"/>
        <v>STOP</v>
      </c>
      <c r="P41" s="5">
        <v>0.65456499999999995</v>
      </c>
    </row>
    <row r="42" spans="1:16">
      <c r="A42" s="1">
        <v>37</v>
      </c>
      <c r="G42" s="1" t="str">
        <f t="shared" si="6"/>
        <v>EURDF6M37=.EONIA</v>
      </c>
      <c r="H42" s="1">
        <f>[1]!realtimeget2(calculate,G42,"VALUE")</f>
        <v>0.78137299999999998</v>
      </c>
      <c r="I42" s="15">
        <f t="shared" si="9"/>
        <v>0</v>
      </c>
      <c r="J42" s="1" t="str">
        <f t="shared" si="10"/>
        <v>STOP</v>
      </c>
      <c r="K42" s="5">
        <v>0.78137299999999998</v>
      </c>
      <c r="L42" s="1" t="str">
        <f t="shared" si="7"/>
        <v>EURDF3M37=.EONIA</v>
      </c>
      <c r="M42" s="1">
        <f>[1]!realtimeget2(calculate,L42,"VALUE")</f>
        <v>0.66034800000000005</v>
      </c>
      <c r="N42" s="15">
        <f t="shared" si="8"/>
        <v>0</v>
      </c>
      <c r="O42" s="1" t="str">
        <f t="shared" si="3"/>
        <v>STOP</v>
      </c>
      <c r="P42" s="5">
        <v>0.66034800000000005</v>
      </c>
    </row>
    <row r="43" spans="1:16">
      <c r="A43" s="1">
        <v>38</v>
      </c>
      <c r="G43" s="1" t="str">
        <f t="shared" si="6"/>
        <v>EURDF6M38=.EONIA</v>
      </c>
      <c r="H43" s="1">
        <f>[1]!realtimeget2(calculate,G43,"VALUE")</f>
        <v>0.82231200000000004</v>
      </c>
      <c r="I43" s="15">
        <f t="shared" si="9"/>
        <v>0</v>
      </c>
      <c r="J43" s="1" t="str">
        <f t="shared" si="10"/>
        <v>STOP</v>
      </c>
      <c r="K43" s="5">
        <v>0.82231200000000004</v>
      </c>
      <c r="L43" s="1" t="str">
        <f t="shared" si="7"/>
        <v>EURDF3M38=.EONIA</v>
      </c>
      <c r="M43" s="1">
        <f>[1]!realtimeget2(calculate,L43,"VALUE")</f>
        <v>0.62706799999999996</v>
      </c>
      <c r="N43" s="15">
        <f t="shared" si="8"/>
        <v>0</v>
      </c>
      <c r="O43" s="1" t="str">
        <f t="shared" si="3"/>
        <v>STOP</v>
      </c>
      <c r="P43" s="5">
        <v>0.62706799999999996</v>
      </c>
    </row>
    <row r="44" spans="1:16">
      <c r="A44" s="1">
        <v>39</v>
      </c>
      <c r="G44" s="1" t="str">
        <f t="shared" si="6"/>
        <v>EURDF6M39=.EONIA</v>
      </c>
      <c r="H44" s="1">
        <f>[1]!realtimeget2(calculate,G44,"VALUE")</f>
        <v>0.53512599999999999</v>
      </c>
      <c r="I44" s="15">
        <f t="shared" si="9"/>
        <v>0</v>
      </c>
      <c r="J44" s="1" t="str">
        <f t="shared" si="10"/>
        <v>STOP</v>
      </c>
      <c r="K44" s="5">
        <v>0.53512599999999999</v>
      </c>
      <c r="L44" s="1" t="str">
        <f t="shared" si="7"/>
        <v>EURDF3M39=.EONIA</v>
      </c>
      <c r="M44" s="1">
        <f>[1]!realtimeget2(calculate,L44,"VALUE")</f>
        <v>3.9449999999999997E-3</v>
      </c>
      <c r="N44" s="15">
        <f t="shared" si="8"/>
        <v>0</v>
      </c>
      <c r="O44" s="1" t="str">
        <f t="shared" si="3"/>
        <v>STOP</v>
      </c>
      <c r="P44" s="5">
        <v>3.9449999999999997E-3</v>
      </c>
    </row>
    <row r="45" spans="1:16">
      <c r="A45" s="1">
        <v>40</v>
      </c>
      <c r="G45" s="1" t="str">
        <f t="shared" si="6"/>
        <v>EURDF6M40=.EONIA</v>
      </c>
      <c r="H45" s="1">
        <f>[1]!realtimeget2(calculate,G45,"VALUE")</f>
        <v>7.2159000000000001E-2</v>
      </c>
      <c r="I45" s="15">
        <f t="shared" si="9"/>
        <v>0</v>
      </c>
      <c r="J45" s="1" t="str">
        <f t="shared" si="10"/>
        <v>STOP</v>
      </c>
      <c r="K45" s="5">
        <v>7.2159000000000001E-2</v>
      </c>
      <c r="L45" s="1" t="str">
        <f t="shared" si="7"/>
        <v>EURDF3M40=.EONIA</v>
      </c>
      <c r="M45" s="1">
        <f>[1]!realtimeget2(calculate,L45,"VALUE")</f>
        <v>0.65035299999999996</v>
      </c>
      <c r="N45" s="15">
        <f t="shared" si="8"/>
        <v>0</v>
      </c>
      <c r="O45" s="1" t="str">
        <f t="shared" si="3"/>
        <v>STOP</v>
      </c>
      <c r="P45" s="5">
        <v>0.65035299999999996</v>
      </c>
    </row>
    <row r="46" spans="1:16">
      <c r="A46" s="1">
        <v>41</v>
      </c>
      <c r="G46" s="1" t="str">
        <f t="shared" si="6"/>
        <v>EURDF6M41=.EONIA</v>
      </c>
      <c r="H46" s="1">
        <f>[1]!realtimeget2(calculate,G46,"VALUE")</f>
        <v>0.76344400000000001</v>
      </c>
      <c r="I46" s="15">
        <f t="shared" si="9"/>
        <v>0</v>
      </c>
      <c r="J46" s="1" t="str">
        <f t="shared" si="10"/>
        <v>STOP</v>
      </c>
      <c r="K46" s="5">
        <v>0.76344400000000001</v>
      </c>
    </row>
    <row r="47" spans="1:16">
      <c r="A47" s="1">
        <v>42</v>
      </c>
      <c r="G47" s="1" t="str">
        <f t="shared" si="6"/>
        <v>EURDF6M42=.EONIA</v>
      </c>
      <c r="H47" s="1">
        <f>[1]!realtimeget2(calculate,G47,"VALUE")</f>
        <v>0.63053999999999999</v>
      </c>
      <c r="I47" s="15">
        <f t="shared" si="9"/>
        <v>0</v>
      </c>
      <c r="J47" s="1" t="str">
        <f t="shared" si="10"/>
        <v>STOP</v>
      </c>
      <c r="K47" s="5">
        <v>0.63053999999999999</v>
      </c>
    </row>
    <row r="48" spans="1:16">
      <c r="A48" s="1">
        <v>43</v>
      </c>
      <c r="G48" s="1" t="str">
        <f t="shared" si="6"/>
        <v>EURDF6M43=.EONIA</v>
      </c>
      <c r="H48" s="1">
        <f>[1]!realtimeget2(calculate,G48,"VALUE")</f>
        <v>4.6477999999999998E-2</v>
      </c>
      <c r="I48" s="15">
        <f t="shared" si="9"/>
        <v>0</v>
      </c>
      <c r="J48" s="1" t="str">
        <f t="shared" si="10"/>
        <v>STOP</v>
      </c>
      <c r="K48" s="5">
        <v>4.6477999999999998E-2</v>
      </c>
    </row>
    <row r="49" spans="1:11">
      <c r="A49" s="1">
        <v>44</v>
      </c>
      <c r="G49" s="1" t="str">
        <f t="shared" si="6"/>
        <v>EURDF6M44=.EONIA</v>
      </c>
      <c r="H49" s="1">
        <f>[1]!realtimeget2(calculate,G49,"VALUE")</f>
        <v>4.0543000000000003E-2</v>
      </c>
      <c r="I49" s="15">
        <f t="shared" si="9"/>
        <v>0</v>
      </c>
      <c r="J49" s="1" t="str">
        <f t="shared" si="10"/>
        <v>STOP</v>
      </c>
      <c r="K49" s="5">
        <v>4.0543000000000003E-2</v>
      </c>
    </row>
    <row r="50" spans="1:11">
      <c r="A50" s="1">
        <v>45</v>
      </c>
      <c r="G50" s="1" t="str">
        <f t="shared" si="6"/>
        <v>EURDF6M45=.EONIA</v>
      </c>
      <c r="H50" s="1">
        <f>[1]!realtimeget2(calculate,G50,"VALUE")</f>
        <v>0.79826399999999997</v>
      </c>
      <c r="I50" s="15">
        <f t="shared" si="9"/>
        <v>0</v>
      </c>
      <c r="J50" s="1" t="str">
        <f t="shared" si="10"/>
        <v>STOP</v>
      </c>
      <c r="K50" s="5">
        <v>0.79826399999999997</v>
      </c>
    </row>
    <row r="51" spans="1:11">
      <c r="A51" s="1">
        <v>46</v>
      </c>
      <c r="G51" s="1" t="str">
        <f t="shared" si="6"/>
        <v>EURDF6M46=.EONIA</v>
      </c>
      <c r="H51" s="1">
        <f>[1]!realtimeget2(calculate,G51,"VALUE")</f>
        <v>0.45051600000000003</v>
      </c>
      <c r="I51" s="15">
        <f t="shared" si="9"/>
        <v>0</v>
      </c>
      <c r="J51" s="1" t="str">
        <f t="shared" si="10"/>
        <v>STOP</v>
      </c>
      <c r="K51" s="5">
        <v>0.45051600000000003</v>
      </c>
    </row>
    <row r="52" spans="1:11">
      <c r="A52" s="1">
        <v>47</v>
      </c>
      <c r="G52" s="1" t="str">
        <f t="shared" si="6"/>
        <v>EURDF6M47=.EONIA</v>
      </c>
      <c r="H52" s="1">
        <f>[1]!realtimeget2(calculate,G52,"VALUE")</f>
        <v>0.69848699999999997</v>
      </c>
      <c r="I52" s="15">
        <f t="shared" si="9"/>
        <v>0</v>
      </c>
      <c r="J52" s="1" t="str">
        <f t="shared" si="10"/>
        <v>STOP</v>
      </c>
      <c r="K52" s="5">
        <v>0.69848699999999997</v>
      </c>
    </row>
    <row r="53" spans="1:11">
      <c r="A53" s="1">
        <v>48</v>
      </c>
      <c r="G53" s="1" t="str">
        <f t="shared" si="6"/>
        <v>EURDF6M48=.EONIA</v>
      </c>
      <c r="H53" s="1">
        <f>[1]!realtimeget2(calculate,G53,"VALUE")</f>
        <v>0.41911399999999999</v>
      </c>
      <c r="I53" s="15">
        <f t="shared" si="9"/>
        <v>0</v>
      </c>
      <c r="J53" s="1" t="str">
        <f t="shared" si="10"/>
        <v>STOP</v>
      </c>
      <c r="K53" s="5">
        <v>0.41911399999999999</v>
      </c>
    </row>
    <row r="54" spans="1:11">
      <c r="A54" s="1">
        <v>49</v>
      </c>
      <c r="G54" s="1" t="str">
        <f t="shared" si="6"/>
        <v>EURDF6M49=.EONIA</v>
      </c>
      <c r="H54" s="1">
        <f>[1]!realtimeget2(calculate,G54,"VALUE")</f>
        <v>0.48545899999999997</v>
      </c>
      <c r="I54" s="15">
        <f t="shared" si="9"/>
        <v>0</v>
      </c>
      <c r="J54" s="1" t="str">
        <f t="shared" si="10"/>
        <v>STOP</v>
      </c>
      <c r="K54" s="5">
        <v>0.48545899999999997</v>
      </c>
    </row>
    <row r="55" spans="1:11">
      <c r="A55" s="1">
        <v>50</v>
      </c>
      <c r="G55" s="1" t="str">
        <f t="shared" si="6"/>
        <v>EURDF6M50=.EONIA</v>
      </c>
      <c r="H55" s="1">
        <f>[1]!realtimeget2(calculate,G55,"VALUE")</f>
        <v>0.135773</v>
      </c>
      <c r="I55" s="15">
        <f t="shared" si="9"/>
        <v>0</v>
      </c>
      <c r="J55" s="1" t="str">
        <f t="shared" si="10"/>
        <v>STOP</v>
      </c>
      <c r="K55" s="5">
        <v>0.135773</v>
      </c>
    </row>
    <row r="56" spans="1:11">
      <c r="A56" s="1">
        <v>51</v>
      </c>
    </row>
    <row r="57" spans="1:11">
      <c r="A57" s="1">
        <v>52</v>
      </c>
    </row>
    <row r="58" spans="1:11">
      <c r="A58" s="1">
        <v>53</v>
      </c>
    </row>
    <row r="59" spans="1:11">
      <c r="A59" s="1">
        <v>54</v>
      </c>
    </row>
    <row r="60" spans="1:11">
      <c r="A60" s="1">
        <v>55</v>
      </c>
    </row>
    <row r="61" spans="1:11">
      <c r="A61" s="1">
        <v>56</v>
      </c>
    </row>
    <row r="62" spans="1:11">
      <c r="A62" s="1">
        <v>57</v>
      </c>
    </row>
    <row r="63" spans="1:11">
      <c r="A63" s="1">
        <v>58</v>
      </c>
    </row>
    <row r="64" spans="1:11">
      <c r="A64" s="1">
        <v>59</v>
      </c>
    </row>
    <row r="65" spans="1:1">
      <c r="A65" s="1">
        <v>60</v>
      </c>
    </row>
    <row r="66" spans="1:1">
      <c r="A66" s="1">
        <v>61</v>
      </c>
    </row>
    <row r="67" spans="1:1">
      <c r="A67" s="1">
        <v>62</v>
      </c>
    </row>
    <row r="68" spans="1:1">
      <c r="A68" s="1">
        <v>63</v>
      </c>
    </row>
    <row r="69" spans="1:1">
      <c r="A69" s="1">
        <v>64</v>
      </c>
    </row>
    <row r="70" spans="1:1">
      <c r="A70" s="1">
        <v>65</v>
      </c>
    </row>
    <row r="71" spans="1:1">
      <c r="A71" s="1">
        <v>66</v>
      </c>
    </row>
    <row r="72" spans="1:1">
      <c r="A72" s="1">
        <v>67</v>
      </c>
    </row>
    <row r="73" spans="1:1">
      <c r="A73" s="1">
        <v>68</v>
      </c>
    </row>
    <row r="74" spans="1:1">
      <c r="A74" s="1">
        <v>69</v>
      </c>
    </row>
    <row r="75" spans="1:1">
      <c r="A75" s="1">
        <v>70</v>
      </c>
    </row>
    <row r="76" spans="1:1">
      <c r="A76" s="1">
        <v>71</v>
      </c>
    </row>
    <row r="77" spans="1:1">
      <c r="A77" s="1">
        <v>72</v>
      </c>
    </row>
    <row r="78" spans="1:1">
      <c r="A78" s="1">
        <v>73</v>
      </c>
    </row>
    <row r="79" spans="1:1">
      <c r="A79" s="1">
        <v>74</v>
      </c>
    </row>
    <row r="80" spans="1:1">
      <c r="A80" s="1">
        <v>75</v>
      </c>
    </row>
    <row r="81" spans="1:1">
      <c r="A81" s="1">
        <v>76</v>
      </c>
    </row>
    <row r="82" spans="1:1">
      <c r="A82" s="1">
        <v>77</v>
      </c>
    </row>
    <row r="83" spans="1:1">
      <c r="A83" s="1">
        <v>78</v>
      </c>
    </row>
    <row r="84" spans="1:1">
      <c r="A84" s="1">
        <v>79</v>
      </c>
    </row>
    <row r="85" spans="1:1">
      <c r="A85" s="1">
        <v>80</v>
      </c>
    </row>
    <row r="86" spans="1:1">
      <c r="A86" s="1">
        <v>81</v>
      </c>
    </row>
    <row r="87" spans="1:1">
      <c r="A87" s="1">
        <v>82</v>
      </c>
    </row>
    <row r="88" spans="1:1">
      <c r="A88" s="1">
        <v>83</v>
      </c>
    </row>
    <row r="89" spans="1:1">
      <c r="A89" s="1">
        <v>84</v>
      </c>
    </row>
    <row r="90" spans="1:1">
      <c r="A90" s="1">
        <v>85</v>
      </c>
    </row>
    <row r="91" spans="1:1">
      <c r="A91" s="1">
        <v>86</v>
      </c>
    </row>
    <row r="92" spans="1:1">
      <c r="A92" s="1">
        <v>87</v>
      </c>
    </row>
    <row r="93" spans="1:1">
      <c r="A93" s="1">
        <v>88</v>
      </c>
    </row>
    <row r="94" spans="1:1">
      <c r="A94" s="1">
        <v>89</v>
      </c>
    </row>
    <row r="95" spans="1:1">
      <c r="A95" s="1">
        <v>90</v>
      </c>
    </row>
    <row r="96" spans="1:1">
      <c r="A96" s="1">
        <v>91</v>
      </c>
    </row>
    <row r="97" spans="1:1">
      <c r="A97" s="1">
        <v>92</v>
      </c>
    </row>
    <row r="98" spans="1:1">
      <c r="A98" s="1">
        <v>93</v>
      </c>
    </row>
    <row r="99" spans="1:1">
      <c r="A99" s="1">
        <v>94</v>
      </c>
    </row>
    <row r="100" spans="1:1">
      <c r="A100" s="1">
        <v>95</v>
      </c>
    </row>
    <row r="101" spans="1:1">
      <c r="A101" s="1">
        <v>96</v>
      </c>
    </row>
    <row r="102" spans="1:1">
      <c r="A102" s="1">
        <v>97</v>
      </c>
    </row>
    <row r="103" spans="1:1">
      <c r="A103" s="1">
        <v>98</v>
      </c>
    </row>
    <row r="104" spans="1:1">
      <c r="A104" s="1">
        <v>99</v>
      </c>
    </row>
    <row r="105" spans="1:1">
      <c r="A105" s="1">
        <v>100</v>
      </c>
    </row>
  </sheetData>
  <conditionalFormatting sqref="N6:N45 I6:I55 D6:D40">
    <cfRule type="cellIs" dxfId="3" priority="8" operator="greaterThan">
      <formula>0</formula>
    </cfRule>
  </conditionalFormatting>
  <conditionalFormatting sqref="N6:N45 I6:I55 D1:D1048576">
    <cfRule type="cellIs" dxfId="2" priority="7" operator="lessThan">
      <formula>0</formula>
    </cfRule>
  </conditionalFormatting>
  <conditionalFormatting sqref="C4">
    <cfRule type="cellIs" dxfId="1" priority="2" operator="equal">
      <formula>"no"</formula>
    </cfRule>
    <cfRule type="cellIs" dxfId="0" priority="1" operator="equal">
      <formula>"yes"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  <control shapeId="2050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dimension ref="F6:P55"/>
  <sheetViews>
    <sheetView workbookViewId="0"/>
  </sheetViews>
  <sheetFormatPr defaultRowHeight="14.4"/>
  <sheetData>
    <row r="6" spans="6:16">
      <c r="F6">
        <v>0.30044900000000002</v>
      </c>
      <c r="K6">
        <v>0.33152399999999999</v>
      </c>
      <c r="P6">
        <v>0.87963499999999994</v>
      </c>
    </row>
    <row r="7" spans="6:16">
      <c r="F7">
        <v>0.68710700000000002</v>
      </c>
      <c r="K7">
        <v>0.259243</v>
      </c>
      <c r="P7">
        <v>0.77610400000000002</v>
      </c>
    </row>
    <row r="8" spans="6:16">
      <c r="F8">
        <v>0.26717000000000002</v>
      </c>
      <c r="K8">
        <v>0.351024</v>
      </c>
      <c r="P8">
        <v>0.51632299999999998</v>
      </c>
    </row>
    <row r="9" spans="6:16">
      <c r="F9">
        <v>0.33160800000000001</v>
      </c>
      <c r="K9">
        <v>0.99749399999999999</v>
      </c>
      <c r="P9">
        <v>0.50263599999999997</v>
      </c>
    </row>
    <row r="10" spans="6:16">
      <c r="F10">
        <v>0.44682699999999997</v>
      </c>
      <c r="K10">
        <v>0.210369</v>
      </c>
      <c r="P10">
        <v>0.64519899999999997</v>
      </c>
    </row>
    <row r="11" spans="6:16">
      <c r="F11">
        <v>0.73782800000000004</v>
      </c>
      <c r="K11">
        <v>0.82168200000000002</v>
      </c>
      <c r="P11">
        <v>0.28385500000000002</v>
      </c>
    </row>
    <row r="12" spans="6:16">
      <c r="F12">
        <v>0.837422</v>
      </c>
      <c r="K12">
        <v>0.84705799999999998</v>
      </c>
      <c r="P12">
        <v>0.375637</v>
      </c>
    </row>
    <row r="13" spans="6:16">
      <c r="F13">
        <v>0.97998499999999999</v>
      </c>
      <c r="K13">
        <v>0.58337000000000006</v>
      </c>
      <c r="P13">
        <v>0.53382499999999999</v>
      </c>
    </row>
    <row r="14" spans="6:16">
      <c r="F14">
        <v>0.67332899999999996</v>
      </c>
      <c r="K14">
        <v>5.9931999999999999E-2</v>
      </c>
      <c r="P14">
        <v>0.66076299999999999</v>
      </c>
    </row>
    <row r="15" spans="6:16">
      <c r="F15">
        <v>7.2969999999999997E-3</v>
      </c>
      <c r="K15">
        <v>0.87046500000000004</v>
      </c>
      <c r="P15">
        <v>0.52988800000000003</v>
      </c>
    </row>
    <row r="16" spans="6:16">
      <c r="F16">
        <v>0.27485999999999999</v>
      </c>
      <c r="K16">
        <v>2.8652E-2</v>
      </c>
      <c r="P16">
        <v>0.71738800000000003</v>
      </c>
    </row>
    <row r="17" spans="6:16">
      <c r="F17">
        <v>0.46235999999999999</v>
      </c>
      <c r="K17">
        <v>0.73371500000000001</v>
      </c>
      <c r="P17">
        <v>0.99276399999999998</v>
      </c>
    </row>
    <row r="18" spans="6:16">
      <c r="F18">
        <v>0.116642</v>
      </c>
      <c r="K18">
        <v>0.329403</v>
      </c>
      <c r="P18">
        <v>0.69001400000000002</v>
      </c>
    </row>
    <row r="19" spans="6:16">
      <c r="F19">
        <v>0.80217400000000005</v>
      </c>
      <c r="K19">
        <v>0.389934</v>
      </c>
      <c r="P19">
        <v>0.80913900000000005</v>
      </c>
    </row>
    <row r="20" spans="6:16">
      <c r="F20">
        <v>0.46426800000000001</v>
      </c>
      <c r="K20">
        <v>2.0778000000000001E-2</v>
      </c>
      <c r="P20">
        <v>0.38920199999999999</v>
      </c>
    </row>
    <row r="21" spans="6:16">
      <c r="F21">
        <v>0.10682999999999999</v>
      </c>
      <c r="K21">
        <v>0.155529</v>
      </c>
      <c r="P21">
        <v>9.8170999999999994E-2</v>
      </c>
    </row>
    <row r="22" spans="6:16">
      <c r="F22">
        <v>0.37439299999999998</v>
      </c>
      <c r="K22">
        <v>0.82543599999999995</v>
      </c>
      <c r="P22">
        <v>0.71338999999999997</v>
      </c>
    </row>
    <row r="23" spans="6:16">
      <c r="F23">
        <v>0.32555000000000001</v>
      </c>
      <c r="K23">
        <v>6.9559999999999997E-2</v>
      </c>
      <c r="P23">
        <v>0.383297</v>
      </c>
    </row>
    <row r="24" spans="6:16">
      <c r="F24">
        <v>0.33529999999999999</v>
      </c>
      <c r="K24">
        <v>0.64181200000000005</v>
      </c>
      <c r="P24">
        <v>0.38523499999999999</v>
      </c>
    </row>
    <row r="25" spans="6:16">
      <c r="F25">
        <v>9.8957000000000003E-2</v>
      </c>
      <c r="K25">
        <v>0.27265499999999998</v>
      </c>
      <c r="P25">
        <v>0.40279700000000002</v>
      </c>
    </row>
    <row r="26" spans="6:16">
      <c r="F26">
        <v>0.46417599999999998</v>
      </c>
      <c r="K26">
        <v>0.39568700000000001</v>
      </c>
      <c r="P26">
        <v>8.8329000000000005E-2</v>
      </c>
    </row>
    <row r="27" spans="6:16">
      <c r="F27">
        <v>0.89580199999999999</v>
      </c>
      <c r="K27">
        <v>0.65153099999999997</v>
      </c>
      <c r="P27">
        <v>0.53557999999999995</v>
      </c>
    </row>
    <row r="28" spans="6:16">
      <c r="F28">
        <v>9.3051999999999996E-2</v>
      </c>
      <c r="K28">
        <v>0.21596899999999999</v>
      </c>
      <c r="P28">
        <v>0.14689199999999999</v>
      </c>
    </row>
    <row r="29" spans="6:16">
      <c r="F29">
        <v>0.169208</v>
      </c>
      <c r="K29">
        <v>0.88978199999999996</v>
      </c>
      <c r="P29">
        <v>1.9924000000000001E-2</v>
      </c>
    </row>
    <row r="30" spans="6:16">
      <c r="F30">
        <v>0.89770899999999998</v>
      </c>
      <c r="K30">
        <v>0.54406399999999999</v>
      </c>
      <c r="P30">
        <v>0.99451900000000004</v>
      </c>
    </row>
    <row r="31" spans="6:16">
      <c r="F31">
        <v>3.6365000000000001E-2</v>
      </c>
      <c r="K31">
        <v>0.64756400000000003</v>
      </c>
      <c r="P31">
        <v>7.4580999999999995E-2</v>
      </c>
    </row>
    <row r="32" spans="6:16">
      <c r="F32">
        <v>0.33517799999999998</v>
      </c>
      <c r="K32">
        <v>0.33309499999999997</v>
      </c>
      <c r="P32">
        <v>0.29136200000000001</v>
      </c>
    </row>
    <row r="33" spans="6:16">
      <c r="F33">
        <v>1.8772E-2</v>
      </c>
      <c r="K33">
        <v>0.393627</v>
      </c>
      <c r="P33">
        <v>0.359707</v>
      </c>
    </row>
    <row r="34" spans="6:16">
      <c r="F34">
        <v>0.16133500000000001</v>
      </c>
      <c r="K34">
        <v>0.99909599999999998</v>
      </c>
      <c r="P34">
        <v>1.0082000000000001E-2</v>
      </c>
    </row>
    <row r="35" spans="6:16">
      <c r="F35">
        <v>0.26092900000000002</v>
      </c>
      <c r="K35">
        <v>0.66900300000000001</v>
      </c>
      <c r="P35">
        <v>9.6018999999999993E-2</v>
      </c>
    </row>
    <row r="36" spans="6:16">
      <c r="F36">
        <v>0.23161699999999999</v>
      </c>
      <c r="K36">
        <v>0.315471</v>
      </c>
      <c r="P36">
        <v>0.16436300000000001</v>
      </c>
    </row>
    <row r="37" spans="6:16">
      <c r="F37">
        <v>0.64371100000000003</v>
      </c>
      <c r="K37">
        <v>0.62209700000000001</v>
      </c>
      <c r="P37">
        <v>4.9113999999999998E-2</v>
      </c>
    </row>
    <row r="38" spans="6:16">
      <c r="F38">
        <v>0.80971199999999999</v>
      </c>
      <c r="K38">
        <v>0.88966000000000001</v>
      </c>
      <c r="P38">
        <v>0.62136499999999995</v>
      </c>
    </row>
    <row r="39" spans="6:16">
      <c r="F39">
        <v>0.47961799999999999</v>
      </c>
      <c r="K39">
        <v>0.55956600000000001</v>
      </c>
      <c r="P39">
        <v>0.83814599999999995</v>
      </c>
    </row>
    <row r="40" spans="6:16">
      <c r="F40">
        <v>0.45068000000000003</v>
      </c>
      <c r="K40">
        <v>0.96384800000000004</v>
      </c>
      <c r="P40">
        <v>0.89086600000000005</v>
      </c>
    </row>
    <row r="41" spans="6:16">
      <c r="K41">
        <v>0.74312999999999996</v>
      </c>
      <c r="P41">
        <v>8.0302999999999999E-2</v>
      </c>
    </row>
    <row r="42" spans="6:16">
      <c r="K42">
        <v>0.87397400000000003</v>
      </c>
      <c r="P42">
        <v>0.742398</v>
      </c>
    </row>
    <row r="43" spans="6:16">
      <c r="K43">
        <v>0.57903700000000002</v>
      </c>
      <c r="P43">
        <v>0.44746000000000002</v>
      </c>
    </row>
    <row r="44" spans="6:16">
      <c r="K44">
        <v>0.166912</v>
      </c>
      <c r="P44">
        <v>0.61346100000000003</v>
      </c>
    </row>
    <row r="45" spans="6:16">
      <c r="K45">
        <v>0.77041300000000001</v>
      </c>
      <c r="P45">
        <v>0.73649200000000004</v>
      </c>
    </row>
    <row r="46" spans="6:16">
      <c r="K46">
        <v>0.91297600000000001</v>
      </c>
    </row>
    <row r="47" spans="6:16">
      <c r="K47">
        <v>0.71569499999999997</v>
      </c>
    </row>
    <row r="48" spans="6:16">
      <c r="K48">
        <v>0.77428799999999998</v>
      </c>
    </row>
    <row r="49" spans="11:11">
      <c r="K49">
        <v>0.84263299999999997</v>
      </c>
    </row>
    <row r="50" spans="11:11">
      <c r="K50">
        <v>0.73128899999999997</v>
      </c>
    </row>
    <row r="51" spans="11:11">
      <c r="K51">
        <v>0.74885199999999996</v>
      </c>
    </row>
    <row r="52" spans="11:11">
      <c r="K52">
        <v>0.43828899999999998</v>
      </c>
    </row>
    <row r="53" spans="11:11">
      <c r="K53">
        <v>0.92850900000000003</v>
      </c>
    </row>
    <row r="54" spans="11:11">
      <c r="K54">
        <v>6.3258999999999996E-2</v>
      </c>
    </row>
    <row r="55" spans="11:11">
      <c r="K55">
        <v>0.71363500000000002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Sheet1</vt:lpstr>
      <vt:lpstr>calculate</vt:lpstr>
    </vt:vector>
  </TitlesOfParts>
  <Company>Gruppo MPS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T004314</dc:creator>
  <cp:lastModifiedBy>T004314</cp:lastModifiedBy>
  <dcterms:created xsi:type="dcterms:W3CDTF">2014-12-15T14:24:37Z</dcterms:created>
  <dcterms:modified xsi:type="dcterms:W3CDTF">2014-12-29T15:11:54Z</dcterms:modified>
</cp:coreProperties>
</file>