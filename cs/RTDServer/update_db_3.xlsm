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5300" windowHeight="8736"/>
  </bookViews>
  <sheets>
    <sheet name="Sheet1" sheetId="4" r:id="rId1"/>
    <sheet name="Sheet2" sheetId="5" r:id="rId2"/>
  </sheets>
  <functionGroups/>
  <externalReferences>
    <externalReference r:id="rId3"/>
  </externalReferences>
  <calcPr calcId="125725" calcOnSave="0"/>
</workbook>
</file>

<file path=xl/calcChain.xml><?xml version="1.0" encoding="utf-8"?>
<calcChain xmlns="http://schemas.openxmlformats.org/spreadsheetml/2006/main">
  <c r="L3" i="4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L12"/>
  <c r="L13"/>
  <c r="M13" s="1"/>
  <c r="L14"/>
  <c r="M14" s="1"/>
  <c r="L15"/>
  <c r="L16"/>
  <c r="M16" s="1"/>
  <c r="L17"/>
  <c r="M17" s="1"/>
  <c r="L18"/>
  <c r="M18" s="1"/>
  <c r="L19"/>
  <c r="M19" s="1"/>
  <c r="L20"/>
  <c r="L21"/>
  <c r="M21" s="1"/>
  <c r="L22"/>
  <c r="M22" s="1"/>
  <c r="L23"/>
  <c r="M23" s="1"/>
  <c r="L24"/>
  <c r="L25"/>
  <c r="M25" s="1"/>
  <c r="L26"/>
  <c r="M26" s="1"/>
  <c r="L27"/>
  <c r="M27" s="1"/>
  <c r="L28"/>
  <c r="M28" s="1"/>
  <c r="L29"/>
  <c r="L30"/>
  <c r="L31"/>
  <c r="M31" s="1"/>
  <c r="L32"/>
  <c r="M32" s="1"/>
  <c r="L33"/>
  <c r="L34"/>
  <c r="M34" s="1"/>
  <c r="L35"/>
  <c r="M35" s="1"/>
  <c r="L36"/>
  <c r="M36" s="1"/>
  <c r="L37"/>
  <c r="M37" s="1"/>
  <c r="L38"/>
  <c r="M38" s="1"/>
  <c r="L39"/>
  <c r="M39" s="1"/>
  <c r="L40"/>
  <c r="M40" s="1"/>
  <c r="L41"/>
  <c r="L2"/>
  <c r="H3"/>
  <c r="I3" s="1"/>
  <c r="H4"/>
  <c r="H5"/>
  <c r="I5" s="1"/>
  <c r="H6"/>
  <c r="I6" s="1"/>
  <c r="H7"/>
  <c r="I7" s="1"/>
  <c r="H8"/>
  <c r="H9"/>
  <c r="I9" s="1"/>
  <c r="H10"/>
  <c r="I10" s="1"/>
  <c r="H11"/>
  <c r="H12"/>
  <c r="I12" s="1"/>
  <c r="H13"/>
  <c r="H14"/>
  <c r="I14" s="1"/>
  <c r="H15"/>
  <c r="I15" s="1"/>
  <c r="H16"/>
  <c r="I16" s="1"/>
  <c r="H17"/>
  <c r="H18"/>
  <c r="I18" s="1"/>
  <c r="H19"/>
  <c r="I19" s="1"/>
  <c r="H20"/>
  <c r="I20" s="1"/>
  <c r="H21"/>
  <c r="I21" s="1"/>
  <c r="H22"/>
  <c r="H23"/>
  <c r="I23" s="1"/>
  <c r="H24"/>
  <c r="I24" s="1"/>
  <c r="H25"/>
  <c r="I25" s="1"/>
  <c r="H26"/>
  <c r="I26" s="1"/>
  <c r="H27"/>
  <c r="I27" s="1"/>
  <c r="H28"/>
  <c r="I28" s="1"/>
  <c r="H29"/>
  <c r="H30"/>
  <c r="I30" s="1"/>
  <c r="H31"/>
  <c r="H32"/>
  <c r="I32" s="1"/>
  <c r="H33"/>
  <c r="I33" s="1"/>
  <c r="H34"/>
  <c r="I34" s="1"/>
  <c r="H35"/>
  <c r="I35" s="1"/>
  <c r="H36"/>
  <c r="I36" s="1"/>
  <c r="H37"/>
  <c r="H38"/>
  <c r="I38" s="1"/>
  <c r="H39"/>
  <c r="I39" s="1"/>
  <c r="H40"/>
  <c r="I40" s="1"/>
  <c r="H41"/>
  <c r="I41" s="1"/>
  <c r="H42"/>
  <c r="I42" s="1"/>
  <c r="H43"/>
  <c r="H44"/>
  <c r="I44" s="1"/>
  <c r="H45"/>
  <c r="I45" s="1"/>
  <c r="H46"/>
  <c r="I46" s="1"/>
  <c r="H47"/>
  <c r="I47" s="1"/>
  <c r="H48"/>
  <c r="I48" s="1"/>
  <c r="H49"/>
  <c r="I49" s="1"/>
  <c r="H50"/>
  <c r="H51"/>
  <c r="I51" s="1"/>
  <c r="H2"/>
  <c r="I2" s="1"/>
  <c r="D3"/>
  <c r="E3" s="1"/>
  <c r="D4"/>
  <c r="D5"/>
  <c r="D6"/>
  <c r="E6" s="1"/>
  <c r="D7"/>
  <c r="D8"/>
  <c r="E8" s="1"/>
  <c r="D9"/>
  <c r="E9" s="1"/>
  <c r="D10"/>
  <c r="D11"/>
  <c r="E11" s="1"/>
  <c r="D12"/>
  <c r="E12" s="1"/>
  <c r="D13"/>
  <c r="D14"/>
  <c r="D15"/>
  <c r="E15" s="1"/>
  <c r="D16"/>
  <c r="E16" s="1"/>
  <c r="D17"/>
  <c r="E17" s="1"/>
  <c r="D18"/>
  <c r="E18" s="1"/>
  <c r="D19"/>
  <c r="E19" s="1"/>
  <c r="D20"/>
  <c r="E20" s="1"/>
  <c r="D21"/>
  <c r="E21" s="1"/>
  <c r="D22"/>
  <c r="D23"/>
  <c r="D24"/>
  <c r="E24" s="1"/>
  <c r="D25"/>
  <c r="E25" s="1"/>
  <c r="D26"/>
  <c r="E26" s="1"/>
  <c r="D27"/>
  <c r="E27" s="1"/>
  <c r="D28"/>
  <c r="E28" s="1"/>
  <c r="D29"/>
  <c r="E29" s="1"/>
  <c r="D30"/>
  <c r="E30" s="1"/>
  <c r="D31"/>
  <c r="D32"/>
  <c r="E32" s="1"/>
  <c r="D33"/>
  <c r="E33" s="1"/>
  <c r="D34"/>
  <c r="D35"/>
  <c r="E35" s="1"/>
  <c r="D36"/>
  <c r="E36" s="1"/>
  <c r="D2"/>
  <c r="F51"/>
  <c r="I50"/>
  <c r="F50"/>
  <c r="F49"/>
  <c r="F48"/>
  <c r="F47"/>
  <c r="F46"/>
  <c r="F45"/>
  <c r="F44"/>
  <c r="I43"/>
  <c r="F43"/>
  <c r="F42"/>
  <c r="M41"/>
  <c r="J41"/>
  <c r="F41"/>
  <c r="J40"/>
  <c r="F40"/>
  <c r="J39"/>
  <c r="F39"/>
  <c r="J38"/>
  <c r="F38"/>
  <c r="J37"/>
  <c r="I37"/>
  <c r="F37"/>
  <c r="J36"/>
  <c r="F36"/>
  <c r="B36"/>
  <c r="J35"/>
  <c r="F35"/>
  <c r="B35"/>
  <c r="J34"/>
  <c r="F34"/>
  <c r="E34"/>
  <c r="B34"/>
  <c r="M33"/>
  <c r="J33"/>
  <c r="F33"/>
  <c r="B33"/>
  <c r="J32"/>
  <c r="F32"/>
  <c r="B32"/>
  <c r="J31"/>
  <c r="I31"/>
  <c r="F31"/>
  <c r="E31"/>
  <c r="B31"/>
  <c r="M30"/>
  <c r="J30"/>
  <c r="F30"/>
  <c r="B30"/>
  <c r="M29"/>
  <c r="J29"/>
  <c r="I29"/>
  <c r="F29"/>
  <c r="B29"/>
  <c r="J28"/>
  <c r="F28"/>
  <c r="B28"/>
  <c r="J27"/>
  <c r="F27"/>
  <c r="B27"/>
  <c r="J26"/>
  <c r="F26"/>
  <c r="B26"/>
  <c r="J25"/>
  <c r="F25"/>
  <c r="B25"/>
  <c r="M24"/>
  <c r="J24"/>
  <c r="F24"/>
  <c r="B24"/>
  <c r="J23"/>
  <c r="F23"/>
  <c r="E23"/>
  <c r="B23"/>
  <c r="J22"/>
  <c r="I22"/>
  <c r="F22"/>
  <c r="E22"/>
  <c r="B22"/>
  <c r="J21"/>
  <c r="F21"/>
  <c r="B21"/>
  <c r="M20"/>
  <c r="J20"/>
  <c r="F20"/>
  <c r="B20"/>
  <c r="J19"/>
  <c r="F19"/>
  <c r="B19"/>
  <c r="J18"/>
  <c r="F18"/>
  <c r="B18"/>
  <c r="J17"/>
  <c r="I17"/>
  <c r="F17"/>
  <c r="B17"/>
  <c r="J16"/>
  <c r="F16"/>
  <c r="B16"/>
  <c r="M15"/>
  <c r="J15"/>
  <c r="F15"/>
  <c r="B15"/>
  <c r="J14"/>
  <c r="F14"/>
  <c r="E14"/>
  <c r="B14"/>
  <c r="J13"/>
  <c r="I13"/>
  <c r="F13"/>
  <c r="E13"/>
  <c r="B13"/>
  <c r="M12"/>
  <c r="J12"/>
  <c r="F12"/>
  <c r="B12"/>
  <c r="M11"/>
  <c r="J11"/>
  <c r="I11"/>
  <c r="F11"/>
  <c r="B11"/>
  <c r="J10"/>
  <c r="F10"/>
  <c r="E10"/>
  <c r="B10"/>
  <c r="J9"/>
  <c r="F9"/>
  <c r="B9"/>
  <c r="J8"/>
  <c r="I8"/>
  <c r="F8"/>
  <c r="B8"/>
  <c r="J7"/>
  <c r="F7"/>
  <c r="E7"/>
  <c r="B7"/>
  <c r="J6"/>
  <c r="F6"/>
  <c r="B6"/>
  <c r="J5"/>
  <c r="F5"/>
  <c r="E5"/>
  <c r="B5"/>
  <c r="J4"/>
  <c r="I4"/>
  <c r="F4"/>
  <c r="E4"/>
  <c r="B4"/>
  <c r="J3"/>
  <c r="F3"/>
  <c r="B3"/>
  <c r="M2"/>
  <c r="J2"/>
  <c r="F2"/>
  <c r="B2"/>
  <c r="C2"/>
  <c r="K34"/>
  <c r="G10"/>
  <c r="K26"/>
  <c r="G12"/>
  <c r="K6"/>
  <c r="G47"/>
  <c r="K38"/>
  <c r="B29" i="5"/>
  <c r="G16" i="4"/>
  <c r="G27"/>
  <c r="K21"/>
  <c r="C12"/>
  <c r="G19"/>
  <c r="B12" i="5"/>
  <c r="B35"/>
  <c r="G42" i="4"/>
  <c r="K36"/>
  <c r="C27"/>
  <c r="G37"/>
  <c r="B9" i="5"/>
  <c r="G22" i="4"/>
  <c r="B16" i="5"/>
  <c r="K31" i="4"/>
  <c r="C22"/>
  <c r="G26"/>
  <c r="B13" i="5"/>
  <c r="B32"/>
  <c r="C5" i="4"/>
  <c r="G33"/>
  <c r="G14"/>
  <c r="B6" i="5"/>
  <c r="C8" i="4"/>
  <c r="K7"/>
  <c r="K2"/>
  <c r="B27" i="5"/>
  <c r="B26"/>
  <c r="G36" i="4"/>
  <c r="G17"/>
  <c r="K20"/>
  <c r="K8"/>
  <c r="G24"/>
  <c r="G5"/>
  <c r="G13"/>
  <c r="K14"/>
  <c r="G3"/>
  <c r="C34"/>
  <c r="G38"/>
  <c r="K4"/>
  <c r="B19" i="5"/>
  <c r="G9" i="4"/>
  <c r="G28"/>
  <c r="G51"/>
  <c r="B31" i="5"/>
  <c r="G50" i="4"/>
  <c r="C32"/>
  <c r="G45"/>
  <c r="C30"/>
  <c r="C20"/>
  <c r="G6"/>
  <c r="B21" i="5"/>
  <c r="G25" i="4"/>
  <c r="C6"/>
  <c r="K3"/>
  <c r="B8" i="5"/>
  <c r="K18" i="4"/>
  <c r="B20" i="5"/>
  <c r="G11" i="4"/>
  <c r="B22" i="5"/>
  <c r="K10" i="4"/>
  <c r="K35"/>
  <c r="K15"/>
  <c r="C36"/>
  <c r="K25"/>
  <c r="C16"/>
  <c r="G20"/>
  <c r="B3" i="5"/>
  <c r="C14" i="4"/>
  <c r="K11"/>
  <c r="K40"/>
  <c r="C31"/>
  <c r="G35"/>
  <c r="B33" i="5"/>
  <c r="C29" i="4"/>
  <c r="K29"/>
  <c r="G15"/>
  <c r="K9"/>
  <c r="G4"/>
  <c r="B14" i="5"/>
  <c r="B4"/>
  <c r="K32" i="4"/>
  <c r="K39"/>
  <c r="K17"/>
  <c r="C18"/>
  <c r="C25"/>
  <c r="K22"/>
  <c r="K37"/>
  <c r="K16"/>
  <c r="K27"/>
  <c r="K5"/>
  <c r="G21"/>
  <c r="B17" i="5"/>
  <c r="B25"/>
  <c r="G39" i="4"/>
  <c r="K33"/>
  <c r="C24"/>
  <c r="G34"/>
  <c r="B28" i="5"/>
  <c r="K13" i="4"/>
  <c r="C4"/>
  <c r="G8"/>
  <c r="B7" i="5"/>
  <c r="G49" i="4"/>
  <c r="B18" i="5"/>
  <c r="K28" i="4"/>
  <c r="C19"/>
  <c r="G23"/>
  <c r="B10" i="5"/>
  <c r="C17" i="4"/>
  <c r="B1" i="5"/>
  <c r="G2" i="4"/>
  <c r="B5" i="5"/>
  <c r="G18" i="4"/>
  <c r="K12"/>
  <c r="C3"/>
  <c r="G40"/>
  <c r="B11" i="5"/>
  <c r="K19" i="4"/>
  <c r="C10"/>
  <c r="G41"/>
  <c r="B15" i="5"/>
  <c r="C35" i="4"/>
  <c r="G48"/>
  <c r="G29"/>
  <c r="G43"/>
  <c r="K23"/>
  <c r="C13"/>
  <c r="G44"/>
  <c r="C11"/>
  <c r="K41"/>
  <c r="C28"/>
  <c r="G32"/>
  <c r="C26"/>
  <c r="G31"/>
  <c r="G30"/>
  <c r="K24"/>
  <c r="C15"/>
  <c r="G7"/>
  <c r="C33"/>
  <c r="K30"/>
  <c r="B34" i="5"/>
  <c r="C9" i="4"/>
  <c r="B2" i="5"/>
  <c r="C23" i="4"/>
  <c r="B24" i="5"/>
  <c r="B30"/>
  <c r="C7" i="4"/>
  <c r="B23" i="5"/>
  <c r="C21" i="4"/>
  <c r="G46"/>
  <c r="E2" l="1"/>
</calcChain>
</file>

<file path=xl/sharedStrings.xml><?xml version="1.0" encoding="utf-8"?>
<sst xmlns="http://schemas.openxmlformats.org/spreadsheetml/2006/main" count="42" uniqueCount="37">
  <si>
    <t>VALUE</t>
  </si>
  <si>
    <t>yes</t>
  </si>
  <si>
    <t>EURDFSTD1=.EONIA</t>
  </si>
  <si>
    <t>EURDFSTD2=.EONIA</t>
  </si>
  <si>
    <t>EURDFSTD3=.EONIA</t>
  </si>
  <si>
    <t>EURDFSTD4=.EONIA</t>
  </si>
  <si>
    <t>EURDFSTD5=.EONIA</t>
  </si>
  <si>
    <t>EURDFSTD6=.EONIA</t>
  </si>
  <si>
    <t>EURDFSTD7=.EONIA</t>
  </si>
  <si>
    <t>EURDFSTD8=.EONIA</t>
  </si>
  <si>
    <t>EURDFSTD9=.EONIA</t>
  </si>
  <si>
    <t>EURDFSTD10=.EONIA</t>
  </si>
  <si>
    <t>EURDFSTD11=.EONIA</t>
  </si>
  <si>
    <t>EURDFSTD12=.EONIA</t>
  </si>
  <si>
    <t>EURDFSTD13=.EONIA</t>
  </si>
  <si>
    <t>EURDFSTD14=.EONIA</t>
  </si>
  <si>
    <t>EURDFSTD15=.EONIA</t>
  </si>
  <si>
    <t>EURDFSTD16=.EONIA</t>
  </si>
  <si>
    <t>EURDFSTD17=.EONIA</t>
  </si>
  <si>
    <t>EURDFSTD18=.EONIA</t>
  </si>
  <si>
    <t>EURDFSTD19=.EONIA</t>
  </si>
  <si>
    <t>EURDFSTD20=.EONIA</t>
  </si>
  <si>
    <t>EURDFSTD21=.EONIA</t>
  </si>
  <si>
    <t>EURDFSTD22=.EONIA</t>
  </si>
  <si>
    <t>EURDFSTD23=.EONIA</t>
  </si>
  <si>
    <t>EURDFSTD24=.EONIA</t>
  </si>
  <si>
    <t>EURDFSTD25=.EONIA</t>
  </si>
  <si>
    <t>EURDFSTD26=.EONIA</t>
  </si>
  <si>
    <t>EURDFSTD27=.EONIA</t>
  </si>
  <si>
    <t>EURDFSTD28=.EONIA</t>
  </si>
  <si>
    <t>EURDFSTD29=.EONIA</t>
  </si>
  <si>
    <t>EURDFSTD30=.EONIA</t>
  </si>
  <si>
    <t>EURDFSTD31=.EONIA</t>
  </si>
  <si>
    <t>EURDFSTD32=.EONIA</t>
  </si>
  <si>
    <t>EURDFSTD33=.EONIA</t>
  </si>
  <si>
    <t>EURDFSTD34=.EONIA</t>
  </si>
  <si>
    <t>EURDFSTD35=.EONIA</t>
  </si>
</sst>
</file>

<file path=xl/styles.xml><?xml version="1.0" encoding="utf-8"?>
<styleSheet xmlns="http://schemas.openxmlformats.org/spreadsheetml/2006/main">
  <numFmts count="1">
    <numFmt numFmtId="164" formatCode="0.000000"/>
  </numFmts>
  <fonts count="4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2" borderId="0" xfId="0" applyFont="1" applyFill="1"/>
    <xf numFmtId="164" fontId="3" fillId="2" borderId="0" xfId="0" applyNumberFormat="1" applyFont="1" applyFill="1"/>
    <xf numFmtId="164" fontId="1" fillId="0" borderId="0" xfId="0" applyNumberFormat="1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volatileDependencies.xml><?xml version="1.0" encoding="utf-8"?>
<volTypes xmlns="http://schemas.openxmlformats.org/spreadsheetml/2006/main">
  <volType type="realTimeData">
    <main first="realtimeserver">
      <tp>
        <v>0.92016299999999995</v>
        <stp/>
        <stp>EURDFSTD8=.EONIA</stp>
        <stp>VALUE</stp>
        <tr r="B8" s="5"/>
      </tp>
      <tp>
        <v>0.81975399999999998</v>
        <stp/>
        <stp>EURDFSTD9=.EONIA</stp>
        <stp>VALUE</stp>
        <tr r="B9" s="5"/>
      </tp>
      <tp>
        <v>0.97313400000000005</v>
        <stp/>
        <stp>EURDFSTD4=.EONIA</stp>
        <stp>VALUE</stp>
        <tr r="B4" s="5"/>
      </tp>
      <tp>
        <v>0.88216899999999998</v>
        <stp/>
        <stp>EURDFSTD5=.EONIA</stp>
        <stp>VALUE</stp>
        <tr r="B5" s="5"/>
      </tp>
      <tp>
        <v>0.29117999999999999</v>
        <stp/>
        <stp>EURDFSTD6=.EONIA</stp>
        <stp>VALUE</stp>
        <tr r="B6" s="5"/>
      </tp>
      <tp>
        <v>0.68114699999999995</v>
        <stp/>
        <stp>EURDFSTD7=.EONIA</stp>
        <stp>VALUE</stp>
        <tr r="B7" s="5"/>
      </tp>
      <tp>
        <v>8888888</v>
        <stp/>
        <stp>EURDFSTD1=.EONIA</stp>
        <stp>VALUE</stp>
        <tr r="B1" s="5"/>
      </tp>
      <tp>
        <v>0.46454099999999998</v>
        <stp/>
        <stp>EURDFSTD2=.EONIA</stp>
        <stp>VALUE</stp>
        <tr r="B2" s="5"/>
      </tp>
      <tp>
        <v>0.24846399999999999</v>
        <stp/>
        <stp>EURDFSTD3=.EONIA</stp>
        <stp>VALUE</stp>
        <tr r="B3" s="5"/>
      </tp>
      <tp>
        <v>0.54270399999999996</v>
        <stp/>
        <stp>EURDFSTD32=.EONIA</stp>
        <stp>VALUE</stp>
        <tr r="B32" s="5"/>
      </tp>
      <tp>
        <v>0.69608199999999998</v>
        <stp/>
        <stp>EURDFSTD33=.EONIA</stp>
        <stp>VALUE</stp>
        <tr r="B33" s="5"/>
      </tp>
      <tp>
        <v>0.26813500000000001</v>
        <stp/>
        <stp>EURDFSTD30=.EONIA</stp>
        <stp>VALUE</stp>
        <tr r="B30" s="5"/>
      </tp>
      <tp>
        <v>0.203402</v>
        <stp/>
        <stp>EURDFSTD31=.EONIA</stp>
        <stp>VALUE</stp>
        <tr r="B31" s="5"/>
      </tp>
      <tp>
        <v>0.18809600000000001</v>
        <stp/>
        <stp>EURDFSTD34=.EONIA</stp>
        <stp>VALUE</stp>
        <tr r="B34" s="5"/>
      </tp>
      <tp>
        <v>0.18365799999999999</v>
        <stp/>
        <stp>EURDFSTD35=.EONIA</stp>
        <stp>VALUE</stp>
        <tr r="B35" s="5"/>
      </tp>
      <tp>
        <v>0.68873700000000004</v>
        <stp/>
        <stp>EURDFSTD22=.EONIA</stp>
        <stp>VALUE</stp>
        <tr r="B22" s="5"/>
      </tp>
      <tp>
        <v>9.8693000000000003E-2</v>
        <stp/>
        <stp>EURDFSTD23=.EONIA</stp>
        <stp>VALUE</stp>
        <tr r="B23" s="5"/>
      </tp>
      <tp>
        <v>3.5511000000000001E-2</v>
        <stp/>
        <stp>EURDFSTD20=.EONIA</stp>
        <stp>VALUE</stp>
        <tr r="B20" s="5"/>
      </tp>
      <tp>
        <v>0.108392</v>
        <stp/>
        <stp>EURDFSTD21=.EONIA</stp>
        <stp>VALUE</stp>
        <tr r="B21" s="5"/>
      </tp>
      <tp>
        <v>0.62104800000000004</v>
        <stp/>
        <stp>EURDFSTD26=.EONIA</stp>
        <stp>VALUE</stp>
        <tr r="B26" s="5"/>
      </tp>
      <tp>
        <v>0.72953000000000001</v>
        <stp/>
        <stp>EURDFSTD27=.EONIA</stp>
        <stp>VALUE</stp>
        <tr r="B27" s="5"/>
      </tp>
      <tp>
        <v>0.453457</v>
        <stp/>
        <stp>EURDFSTD24=.EONIA</stp>
        <stp>VALUE</stp>
        <tr r="B24" s="5"/>
      </tp>
      <tp>
        <v>0.61324599999999996</v>
        <stp/>
        <stp>EURDFSTD25=.EONIA</stp>
        <stp>VALUE</stp>
        <tr r="B25" s="5"/>
      </tp>
      <tp>
        <v>6.9062999999999999E-2</v>
        <stp/>
        <stp>EURDFSTD28=.EONIA</stp>
        <stp>VALUE</stp>
        <tr r="B28" s="5"/>
      </tp>
      <tp>
        <v>0.350354</v>
        <stp/>
        <stp>EURDFSTD29=.EONIA</stp>
        <stp>VALUE</stp>
        <tr r="B29" s="5"/>
      </tp>
      <tp>
        <v>0.57401500000000005</v>
        <stp/>
        <stp>EURDFSTD12=.EONIA</stp>
        <stp>VALUE</stp>
        <tr r="B12" s="5"/>
      </tp>
      <tp>
        <v>0.92089900000000002</v>
        <stp/>
        <stp>EURDFSTD13=.EONIA</stp>
        <stp>VALUE</stp>
        <tr r="B13" s="5"/>
      </tp>
      <tp>
        <v>0.47581200000000001</v>
        <stp/>
        <stp>EURDFSTD10=.EONIA</stp>
        <stp>VALUE</stp>
        <tr r="B10" s="5"/>
      </tp>
      <tp>
        <v>0.70133000000000001</v>
        <stp/>
        <stp>EURDFSTD11=.EONIA</stp>
        <stp>VALUE</stp>
        <tr r="B11" s="5"/>
      </tp>
      <tp>
        <v>5.5691999999999998E-2</v>
        <stp/>
        <stp>EURDFSTD16=.EONIA</stp>
        <stp>VALUE</stp>
        <tr r="B16" s="5"/>
      </tp>
      <tp>
        <v>0.63309899999999997</v>
        <stp/>
        <stp>EURDFSTD17=.EONIA</stp>
        <stp>VALUE</stp>
        <tr r="B17" s="5"/>
      </tp>
      <tp>
        <v>0.39213700000000001</v>
        <stp/>
        <stp>EURDFSTD14=.EONIA</stp>
        <stp>VALUE</stp>
        <tr r="B14" s="5"/>
      </tp>
      <tp>
        <v>0.38090800000000002</v>
        <stp/>
        <stp>EURDFSTD15=.EONIA</stp>
        <stp>VALUE</stp>
        <tr r="B15" s="5"/>
      </tp>
      <tp>
        <v>0.40295199999999998</v>
        <stp/>
        <stp>EURDFSTD18=.EONIA</stp>
        <stp>VALUE</stp>
        <tr r="B18" s="5"/>
      </tp>
      <tp>
        <v>0.28147100000000003</v>
        <stp/>
        <stp>EURDFSTD19=.EONIA</stp>
        <stp>VALUE</stp>
        <tr r="B19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FeedCodes/realtimequotes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3"/>
    </sheetNames>
    <definedNames>
      <definedName name="realtimege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M101"/>
  <sheetViews>
    <sheetView tabSelected="1" workbookViewId="0">
      <selection activeCell="H21" sqref="H21"/>
    </sheetView>
  </sheetViews>
  <sheetFormatPr defaultRowHeight="12"/>
  <cols>
    <col min="1" max="1" width="3.109375" style="1" bestFit="1" customWidth="1"/>
    <col min="2" max="2" width="15.109375" style="1" bestFit="1" customWidth="1"/>
    <col min="3" max="3" width="6.5546875" style="1" bestFit="1" customWidth="1"/>
    <col min="4" max="4" width="6.6640625" style="2" bestFit="1" customWidth="1"/>
    <col min="5" max="5" width="6.6640625" style="1" bestFit="1" customWidth="1"/>
    <col min="6" max="6" width="14.6640625" style="1" bestFit="1" customWidth="1"/>
    <col min="7" max="7" width="6.5546875" style="1" bestFit="1" customWidth="1"/>
    <col min="8" max="8" width="7" style="3" bestFit="1" customWidth="1"/>
    <col min="9" max="9" width="7" style="1" bestFit="1" customWidth="1"/>
    <col min="10" max="10" width="14.6640625" style="1" bestFit="1" customWidth="1"/>
    <col min="11" max="11" width="6.5546875" style="1" bestFit="1" customWidth="1"/>
    <col min="12" max="12" width="7" style="3" bestFit="1" customWidth="1"/>
    <col min="13" max="13" width="7" style="1" bestFit="1" customWidth="1"/>
    <col min="14" max="16384" width="8.88671875" style="1"/>
  </cols>
  <sheetData>
    <row r="1" spans="1:13">
      <c r="B1" s="1" t="s">
        <v>1</v>
      </c>
      <c r="D1" s="2" t="s">
        <v>0</v>
      </c>
      <c r="E1" s="1" t="s">
        <v>0</v>
      </c>
      <c r="H1" s="3" t="s">
        <v>0</v>
      </c>
      <c r="I1" s="1" t="s">
        <v>0</v>
      </c>
      <c r="L1" s="3" t="s">
        <v>0</v>
      </c>
      <c r="M1" s="1" t="s">
        <v>0</v>
      </c>
    </row>
    <row r="2" spans="1:13">
      <c r="A2" s="1">
        <v>1</v>
      </c>
      <c r="B2" s="1" t="str">
        <f>CONCATENATE("EURDFSTD",A2,"=.EONIA")</f>
        <v>EURDFSTD1=.EONIA</v>
      </c>
      <c r="C2" s="1" t="str">
        <f ca="1">UpdateDB(B2,D2)</f>
        <v/>
      </c>
      <c r="D2" s="4">
        <f ca="1">RANDBETWEEN(1,1000000)/1000000</f>
        <v>0.85517600000000005</v>
      </c>
      <c r="E2" s="5">
        <f ca="1">D2</f>
        <v>0.85517600000000005</v>
      </c>
      <c r="F2" s="1" t="str">
        <f>CONCATENATE("EURDF6M",A2,"=.EONIA")</f>
        <v>EURDF6M1=.EONIA</v>
      </c>
      <c r="G2" s="1" t="str">
        <f ca="1">UpdateDB(F2,H2)</f>
        <v/>
      </c>
      <c r="H2" s="6">
        <f ca="1">RANDBETWEEN(1,1000000)/1000000</f>
        <v>0.146429</v>
      </c>
      <c r="I2" s="1">
        <f ca="1">H2</f>
        <v>0.146429</v>
      </c>
      <c r="J2" s="1" t="str">
        <f>CONCATENATE("EURDF3M",A2,"=.EONIA")</f>
        <v>EURDF3M1=.EONIA</v>
      </c>
      <c r="K2" s="1" t="str">
        <f ca="1">UpdateDB(J2,L2)</f>
        <v/>
      </c>
      <c r="L2" s="6">
        <f ca="1">RANDBETWEEN(1,1000000)/1000000</f>
        <v>0.19875000000000001</v>
      </c>
      <c r="M2" s="1">
        <f ca="1">L2</f>
        <v>0.19875000000000001</v>
      </c>
    </row>
    <row r="3" spans="1:13">
      <c r="A3" s="1">
        <v>2</v>
      </c>
      <c r="B3" s="1" t="str">
        <f t="shared" ref="B3:B36" si="0">CONCATENATE("EURDFSTD",A3,"=.EONIA")</f>
        <v>EURDFSTD2=.EONIA</v>
      </c>
      <c r="C3" s="1" t="str">
        <f t="shared" ref="C3:C36" ca="1" si="1">UpdateDB(B3,D3)</f>
        <v/>
      </c>
      <c r="D3" s="4">
        <f t="shared" ref="D3:D36" ca="1" si="2">RANDBETWEEN(1,1000000)/1000000</f>
        <v>0.28486699999999998</v>
      </c>
      <c r="E3" s="5">
        <f t="shared" ref="E3:E36" ca="1" si="3">D3</f>
        <v>0.28486699999999998</v>
      </c>
      <c r="F3" s="1" t="str">
        <f t="shared" ref="F3:F51" si="4">CONCATENATE("EURDF6M",A3,"=.EONIA")</f>
        <v>EURDF6M2=.EONIA</v>
      </c>
      <c r="G3" s="1" t="str">
        <f t="shared" ref="G3:G51" ca="1" si="5">UpdateDB(F3,H3)</f>
        <v/>
      </c>
      <c r="H3" s="6">
        <f t="shared" ref="H3:H51" ca="1" si="6">RANDBETWEEN(1,1000000)/1000000</f>
        <v>0.86841999999999997</v>
      </c>
      <c r="I3" s="1">
        <f t="shared" ref="I3:I51" ca="1" si="7">H3</f>
        <v>0.86841999999999997</v>
      </c>
      <c r="J3" s="1" t="str">
        <f t="shared" ref="J3:J41" si="8">CONCATENATE("EURDF3M",A3,"=.EONIA")</f>
        <v>EURDF3M2=.EONIA</v>
      </c>
      <c r="K3" s="1" t="str">
        <f t="shared" ref="K3:K41" ca="1" si="9">UpdateDB(J3,L3)</f>
        <v/>
      </c>
      <c r="L3" s="6">
        <f t="shared" ref="L3:L41" ca="1" si="10">RANDBETWEEN(1,1000000)/1000000</f>
        <v>0.28507399999999999</v>
      </c>
      <c r="M3" s="1">
        <f t="shared" ref="M3:M41" ca="1" si="11">L3</f>
        <v>0.28507399999999999</v>
      </c>
    </row>
    <row r="4" spans="1:13">
      <c r="A4" s="1">
        <v>3</v>
      </c>
      <c r="B4" s="1" t="str">
        <f t="shared" si="0"/>
        <v>EURDFSTD3=.EONIA</v>
      </c>
      <c r="C4" s="1" t="str">
        <f t="shared" ca="1" si="1"/>
        <v/>
      </c>
      <c r="D4" s="4">
        <f t="shared" ca="1" si="2"/>
        <v>0.60767400000000005</v>
      </c>
      <c r="E4" s="5">
        <f t="shared" ca="1" si="3"/>
        <v>0.60767400000000005</v>
      </c>
      <c r="F4" s="1" t="str">
        <f t="shared" si="4"/>
        <v>EURDF6M3=.EONIA</v>
      </c>
      <c r="G4" s="1" t="str">
        <f t="shared" ca="1" si="5"/>
        <v/>
      </c>
      <c r="H4" s="6">
        <f t="shared" ca="1" si="6"/>
        <v>0.51102800000000004</v>
      </c>
      <c r="I4" s="1">
        <f t="shared" ca="1" si="7"/>
        <v>0.51102800000000004</v>
      </c>
      <c r="J4" s="1" t="str">
        <f t="shared" si="8"/>
        <v>EURDF3M3=.EONIA</v>
      </c>
      <c r="K4" s="1" t="str">
        <f t="shared" ca="1" si="9"/>
        <v/>
      </c>
      <c r="L4" s="6">
        <f t="shared" ca="1" si="10"/>
        <v>0.33002999999999999</v>
      </c>
      <c r="M4" s="1">
        <f t="shared" ca="1" si="11"/>
        <v>0.33002999999999999</v>
      </c>
    </row>
    <row r="5" spans="1:13">
      <c r="A5" s="1">
        <v>4</v>
      </c>
      <c r="B5" s="1" t="str">
        <f t="shared" si="0"/>
        <v>EURDFSTD4=.EONIA</v>
      </c>
      <c r="C5" s="1" t="str">
        <f t="shared" ca="1" si="1"/>
        <v/>
      </c>
      <c r="D5" s="4">
        <f t="shared" ca="1" si="2"/>
        <v>0.26859100000000002</v>
      </c>
      <c r="E5" s="5">
        <f t="shared" ca="1" si="3"/>
        <v>0.26859100000000002</v>
      </c>
      <c r="F5" s="1" t="str">
        <f t="shared" si="4"/>
        <v>EURDF6M4=.EONIA</v>
      </c>
      <c r="G5" s="1" t="str">
        <f t="shared" ca="1" si="5"/>
        <v/>
      </c>
      <c r="H5" s="6">
        <f t="shared" ca="1" si="6"/>
        <v>0.333094</v>
      </c>
      <c r="I5" s="1">
        <f t="shared" ca="1" si="7"/>
        <v>0.333094</v>
      </c>
      <c r="J5" s="1" t="str">
        <f t="shared" si="8"/>
        <v>EURDF3M4=.EONIA</v>
      </c>
      <c r="K5" s="1" t="str">
        <f t="shared" ca="1" si="9"/>
        <v/>
      </c>
      <c r="L5" s="6">
        <f t="shared" ca="1" si="10"/>
        <v>0.61626800000000004</v>
      </c>
      <c r="M5" s="1">
        <f t="shared" ca="1" si="11"/>
        <v>0.61626800000000004</v>
      </c>
    </row>
    <row r="6" spans="1:13">
      <c r="A6" s="1">
        <v>5</v>
      </c>
      <c r="B6" s="1" t="str">
        <f t="shared" si="0"/>
        <v>EURDFSTD5=.EONIA</v>
      </c>
      <c r="C6" s="1" t="str">
        <f t="shared" ca="1" si="1"/>
        <v/>
      </c>
      <c r="D6" s="4">
        <f t="shared" ca="1" si="2"/>
        <v>0.29225400000000001</v>
      </c>
      <c r="E6" s="5">
        <f t="shared" ca="1" si="3"/>
        <v>0.29225400000000001</v>
      </c>
      <c r="F6" s="1" t="str">
        <f t="shared" si="4"/>
        <v>EURDF6M5=.EONIA</v>
      </c>
      <c r="G6" s="1" t="str">
        <f t="shared" ca="1" si="5"/>
        <v/>
      </c>
      <c r="H6" s="6">
        <f t="shared" ca="1" si="6"/>
        <v>0.13092999999999999</v>
      </c>
      <c r="I6" s="1">
        <f t="shared" ca="1" si="7"/>
        <v>0.13092999999999999</v>
      </c>
      <c r="J6" s="1" t="str">
        <f t="shared" si="8"/>
        <v>EURDF3M5=.EONIA</v>
      </c>
      <c r="K6" s="1" t="str">
        <f t="shared" ca="1" si="9"/>
        <v/>
      </c>
      <c r="L6" s="6">
        <f t="shared" ca="1" si="10"/>
        <v>0.78200199999999997</v>
      </c>
      <c r="M6" s="1">
        <f t="shared" ca="1" si="11"/>
        <v>0.78200199999999997</v>
      </c>
    </row>
    <row r="7" spans="1:13">
      <c r="A7" s="1">
        <v>6</v>
      </c>
      <c r="B7" s="1" t="str">
        <f t="shared" si="0"/>
        <v>EURDFSTD6=.EONIA</v>
      </c>
      <c r="C7" s="1" t="str">
        <f t="shared" ca="1" si="1"/>
        <v/>
      </c>
      <c r="D7" s="4">
        <f t="shared" ca="1" si="2"/>
        <v>0.36652299999999999</v>
      </c>
      <c r="E7" s="5">
        <f t="shared" ca="1" si="3"/>
        <v>0.36652299999999999</v>
      </c>
      <c r="F7" s="1" t="str">
        <f t="shared" si="4"/>
        <v>EURDF6M6=.EONIA</v>
      </c>
      <c r="G7" s="1" t="str">
        <f t="shared" ca="1" si="5"/>
        <v/>
      </c>
      <c r="H7" s="6">
        <f t="shared" ca="1" si="6"/>
        <v>0.66588400000000003</v>
      </c>
      <c r="I7" s="1">
        <f t="shared" ca="1" si="7"/>
        <v>0.66588400000000003</v>
      </c>
      <c r="J7" s="1" t="str">
        <f t="shared" si="8"/>
        <v>EURDF3M6=.EONIA</v>
      </c>
      <c r="K7" s="1" t="str">
        <f t="shared" ca="1" si="9"/>
        <v/>
      </c>
      <c r="L7" s="6">
        <f t="shared" ca="1" si="10"/>
        <v>0.51795599999999997</v>
      </c>
      <c r="M7" s="1">
        <f t="shared" ca="1" si="11"/>
        <v>0.51795599999999997</v>
      </c>
    </row>
    <row r="8" spans="1:13">
      <c r="A8" s="1">
        <v>7</v>
      </c>
      <c r="B8" s="1" t="str">
        <f t="shared" si="0"/>
        <v>EURDFSTD7=.EONIA</v>
      </c>
      <c r="C8" s="1" t="str">
        <f t="shared" ca="1" si="1"/>
        <v/>
      </c>
      <c r="D8" s="4">
        <f t="shared" ca="1" si="2"/>
        <v>0.71406000000000003</v>
      </c>
      <c r="E8" s="5">
        <f t="shared" ca="1" si="3"/>
        <v>0.71406000000000003</v>
      </c>
      <c r="F8" s="1" t="str">
        <f t="shared" si="4"/>
        <v>EURDF6M7=.EONIA</v>
      </c>
      <c r="G8" s="1" t="str">
        <f t="shared" ca="1" si="5"/>
        <v/>
      </c>
      <c r="H8" s="6">
        <f t="shared" ca="1" si="6"/>
        <v>0.56848200000000004</v>
      </c>
      <c r="I8" s="1">
        <f t="shared" ca="1" si="7"/>
        <v>0.56848200000000004</v>
      </c>
      <c r="J8" s="1" t="str">
        <f t="shared" si="8"/>
        <v>EURDF3M7=.EONIA</v>
      </c>
      <c r="K8" s="1" t="str">
        <f t="shared" ca="1" si="9"/>
        <v/>
      </c>
      <c r="L8" s="6">
        <f t="shared" ca="1" si="10"/>
        <v>0.90849400000000002</v>
      </c>
      <c r="M8" s="1">
        <f t="shared" ca="1" si="11"/>
        <v>0.90849400000000002</v>
      </c>
    </row>
    <row r="9" spans="1:13">
      <c r="A9" s="1">
        <v>8</v>
      </c>
      <c r="B9" s="1" t="str">
        <f t="shared" si="0"/>
        <v>EURDFSTD8=.EONIA</v>
      </c>
      <c r="C9" s="1" t="str">
        <f t="shared" ca="1" si="1"/>
        <v/>
      </c>
      <c r="D9" s="4">
        <f t="shared" ca="1" si="2"/>
        <v>0.55871999999999999</v>
      </c>
      <c r="E9" s="5">
        <f t="shared" ca="1" si="3"/>
        <v>0.55871999999999999</v>
      </c>
      <c r="F9" s="1" t="str">
        <f t="shared" si="4"/>
        <v>EURDF6M8=.EONIA</v>
      </c>
      <c r="G9" s="1" t="str">
        <f t="shared" ca="1" si="5"/>
        <v/>
      </c>
      <c r="H9" s="6">
        <f t="shared" ca="1" si="6"/>
        <v>0.63511700000000004</v>
      </c>
      <c r="I9" s="1">
        <f t="shared" ca="1" si="7"/>
        <v>0.63511700000000004</v>
      </c>
      <c r="J9" s="1" t="str">
        <f t="shared" si="8"/>
        <v>EURDF3M8=.EONIA</v>
      </c>
      <c r="K9" s="1" t="str">
        <f t="shared" ca="1" si="9"/>
        <v/>
      </c>
      <c r="L9" s="6">
        <f t="shared" ca="1" si="10"/>
        <v>0.80366400000000004</v>
      </c>
      <c r="M9" s="1">
        <f t="shared" ca="1" si="11"/>
        <v>0.80366400000000004</v>
      </c>
    </row>
    <row r="10" spans="1:13">
      <c r="A10" s="1">
        <v>9</v>
      </c>
      <c r="B10" s="1" t="str">
        <f t="shared" si="0"/>
        <v>EURDFSTD9=.EONIA</v>
      </c>
      <c r="C10" s="1" t="str">
        <f t="shared" ca="1" si="1"/>
        <v/>
      </c>
      <c r="D10" s="4">
        <f t="shared" ca="1" si="2"/>
        <v>0.75595599999999996</v>
      </c>
      <c r="E10" s="5">
        <f t="shared" ca="1" si="3"/>
        <v>0.75595599999999996</v>
      </c>
      <c r="F10" s="1" t="str">
        <f t="shared" si="4"/>
        <v>EURDF6M9=.EONIA</v>
      </c>
      <c r="G10" s="1" t="str">
        <f t="shared" ca="1" si="5"/>
        <v/>
      </c>
      <c r="H10" s="6">
        <f t="shared" ca="1" si="6"/>
        <v>0.54604900000000001</v>
      </c>
      <c r="I10" s="1">
        <f t="shared" ca="1" si="7"/>
        <v>0.54604900000000001</v>
      </c>
      <c r="J10" s="1" t="str">
        <f t="shared" si="8"/>
        <v>EURDF3M9=.EONIA</v>
      </c>
      <c r="K10" s="1" t="str">
        <f t="shared" ca="1" si="9"/>
        <v/>
      </c>
      <c r="L10" s="6">
        <f t="shared" ca="1" si="10"/>
        <v>0.136049</v>
      </c>
      <c r="M10" s="1">
        <f t="shared" ca="1" si="11"/>
        <v>0.136049</v>
      </c>
    </row>
    <row r="11" spans="1:13">
      <c r="A11" s="1">
        <v>10</v>
      </c>
      <c r="B11" s="1" t="str">
        <f t="shared" si="0"/>
        <v>EURDFSTD10=.EONIA</v>
      </c>
      <c r="C11" s="1" t="str">
        <f t="shared" ca="1" si="1"/>
        <v/>
      </c>
      <c r="D11" s="4">
        <f t="shared" ca="1" si="2"/>
        <v>0.37421599999999999</v>
      </c>
      <c r="E11" s="5">
        <f t="shared" ca="1" si="3"/>
        <v>0.37421599999999999</v>
      </c>
      <c r="F11" s="1" t="str">
        <f t="shared" si="4"/>
        <v>EURDF6M10=.EONIA</v>
      </c>
      <c r="G11" s="1" t="str">
        <f t="shared" ca="1" si="5"/>
        <v/>
      </c>
      <c r="H11" s="6">
        <f t="shared" ca="1" si="6"/>
        <v>0.849271</v>
      </c>
      <c r="I11" s="1">
        <f t="shared" ca="1" si="7"/>
        <v>0.849271</v>
      </c>
      <c r="J11" s="1" t="str">
        <f t="shared" si="8"/>
        <v>EURDF3M10=.EONIA</v>
      </c>
      <c r="K11" s="1" t="str">
        <f t="shared" ca="1" si="9"/>
        <v/>
      </c>
      <c r="L11" s="6">
        <f t="shared" ca="1" si="10"/>
        <v>0.32861400000000002</v>
      </c>
      <c r="M11" s="1">
        <f t="shared" ca="1" si="11"/>
        <v>0.32861400000000002</v>
      </c>
    </row>
    <row r="12" spans="1:13">
      <c r="A12" s="1">
        <v>11</v>
      </c>
      <c r="B12" s="1" t="str">
        <f t="shared" si="0"/>
        <v>EURDFSTD11=.EONIA</v>
      </c>
      <c r="C12" s="1" t="str">
        <f t="shared" ca="1" si="1"/>
        <v/>
      </c>
      <c r="D12" s="4">
        <f t="shared" ca="1" si="2"/>
        <v>0.22269700000000001</v>
      </c>
      <c r="E12" s="5">
        <f t="shared" ca="1" si="3"/>
        <v>0.22269700000000001</v>
      </c>
      <c r="F12" s="1" t="str">
        <f t="shared" si="4"/>
        <v>EURDF6M11=.EONIA</v>
      </c>
      <c r="G12" s="1" t="str">
        <f t="shared" ca="1" si="5"/>
        <v/>
      </c>
      <c r="H12" s="6">
        <f t="shared" ca="1" si="6"/>
        <v>0.122919</v>
      </c>
      <c r="I12" s="1">
        <f t="shared" ca="1" si="7"/>
        <v>0.122919</v>
      </c>
      <c r="J12" s="1" t="str">
        <f t="shared" si="8"/>
        <v>EURDF3M11=.EONIA</v>
      </c>
      <c r="K12" s="1" t="str">
        <f t="shared" ca="1" si="9"/>
        <v/>
      </c>
      <c r="L12" s="6">
        <f t="shared" ca="1" si="10"/>
        <v>0.13772699999999999</v>
      </c>
      <c r="M12" s="1">
        <f t="shared" ca="1" si="11"/>
        <v>0.13772699999999999</v>
      </c>
    </row>
    <row r="13" spans="1:13">
      <c r="A13" s="1">
        <v>12</v>
      </c>
      <c r="B13" s="1" t="str">
        <f t="shared" si="0"/>
        <v>EURDFSTD12=.EONIA</v>
      </c>
      <c r="C13" s="1" t="str">
        <f t="shared" ca="1" si="1"/>
        <v/>
      </c>
      <c r="D13" s="4">
        <f t="shared" ca="1" si="2"/>
        <v>0.81980799999999998</v>
      </c>
      <c r="E13" s="5">
        <f t="shared" ca="1" si="3"/>
        <v>0.81980799999999998</v>
      </c>
      <c r="F13" s="1" t="str">
        <f t="shared" si="4"/>
        <v>EURDF6M12=.EONIA</v>
      </c>
      <c r="G13" s="1" t="str">
        <f t="shared" ca="1" si="5"/>
        <v/>
      </c>
      <c r="H13" s="6">
        <f t="shared" ca="1" si="6"/>
        <v>0.80532499999999996</v>
      </c>
      <c r="I13" s="1">
        <f t="shared" ca="1" si="7"/>
        <v>0.80532499999999996</v>
      </c>
      <c r="J13" s="1" t="str">
        <f t="shared" si="8"/>
        <v>EURDF3M12=.EONIA</v>
      </c>
      <c r="K13" s="1" t="str">
        <f t="shared" ca="1" si="9"/>
        <v/>
      </c>
      <c r="L13" s="6">
        <f t="shared" ca="1" si="10"/>
        <v>7.2780999999999998E-2</v>
      </c>
      <c r="M13" s="1">
        <f t="shared" ca="1" si="11"/>
        <v>7.2780999999999998E-2</v>
      </c>
    </row>
    <row r="14" spans="1:13">
      <c r="A14" s="1">
        <v>13</v>
      </c>
      <c r="B14" s="1" t="str">
        <f t="shared" si="0"/>
        <v>EURDFSTD13=.EONIA</v>
      </c>
      <c r="C14" s="1" t="str">
        <f t="shared" ca="1" si="1"/>
        <v/>
      </c>
      <c r="D14" s="4">
        <f t="shared" ca="1" si="2"/>
        <v>0.96919</v>
      </c>
      <c r="E14" s="5">
        <f t="shared" ca="1" si="3"/>
        <v>0.96919</v>
      </c>
      <c r="F14" s="1" t="str">
        <f t="shared" si="4"/>
        <v>EURDF6M13=.EONIA</v>
      </c>
      <c r="G14" s="1" t="str">
        <f t="shared" ca="1" si="5"/>
        <v/>
      </c>
      <c r="H14" s="6">
        <f t="shared" ca="1" si="6"/>
        <v>0.27890900000000002</v>
      </c>
      <c r="I14" s="1">
        <f t="shared" ca="1" si="7"/>
        <v>0.27890900000000002</v>
      </c>
      <c r="J14" s="1" t="str">
        <f t="shared" si="8"/>
        <v>EURDF3M13=.EONIA</v>
      </c>
      <c r="K14" s="1" t="str">
        <f t="shared" ca="1" si="9"/>
        <v/>
      </c>
      <c r="L14" s="6">
        <f t="shared" ca="1" si="10"/>
        <v>6.0151999999999997E-2</v>
      </c>
      <c r="M14" s="1">
        <f t="shared" ca="1" si="11"/>
        <v>6.0151999999999997E-2</v>
      </c>
    </row>
    <row r="15" spans="1:13">
      <c r="A15" s="1">
        <v>14</v>
      </c>
      <c r="B15" s="1" t="str">
        <f t="shared" si="0"/>
        <v>EURDFSTD14=.EONIA</v>
      </c>
      <c r="C15" s="1" t="str">
        <f t="shared" ca="1" si="1"/>
        <v/>
      </c>
      <c r="D15" s="4">
        <f t="shared" ca="1" si="2"/>
        <v>0.12069000000000001</v>
      </c>
      <c r="E15" s="5">
        <f t="shared" ca="1" si="3"/>
        <v>0.12069000000000001</v>
      </c>
      <c r="F15" s="1" t="str">
        <f t="shared" si="4"/>
        <v>EURDF6M14=.EONIA</v>
      </c>
      <c r="G15" s="1" t="str">
        <f t="shared" ca="1" si="5"/>
        <v/>
      </c>
      <c r="H15" s="6">
        <f t="shared" ca="1" si="6"/>
        <v>0.96599100000000004</v>
      </c>
      <c r="I15" s="1">
        <f t="shared" ca="1" si="7"/>
        <v>0.96599100000000004</v>
      </c>
      <c r="J15" s="1" t="str">
        <f t="shared" si="8"/>
        <v>EURDF3M14=.EONIA</v>
      </c>
      <c r="K15" s="1" t="str">
        <f t="shared" ca="1" si="9"/>
        <v/>
      </c>
      <c r="L15" s="6">
        <f t="shared" ca="1" si="10"/>
        <v>0.49756800000000001</v>
      </c>
      <c r="M15" s="1">
        <f t="shared" ca="1" si="11"/>
        <v>0.49756800000000001</v>
      </c>
    </row>
    <row r="16" spans="1:13">
      <c r="A16" s="1">
        <v>15</v>
      </c>
      <c r="B16" s="1" t="str">
        <f t="shared" si="0"/>
        <v>EURDFSTD15=.EONIA</v>
      </c>
      <c r="C16" s="1" t="str">
        <f t="shared" ca="1" si="1"/>
        <v/>
      </c>
      <c r="D16" s="4">
        <f t="shared" ca="1" si="2"/>
        <v>0.30305100000000001</v>
      </c>
      <c r="E16" s="5">
        <f t="shared" ca="1" si="3"/>
        <v>0.30305100000000001</v>
      </c>
      <c r="F16" s="1" t="str">
        <f t="shared" si="4"/>
        <v>EURDF6M15=.EONIA</v>
      </c>
      <c r="G16" s="1" t="str">
        <f t="shared" ca="1" si="5"/>
        <v/>
      </c>
      <c r="H16" s="6">
        <f t="shared" ca="1" si="6"/>
        <v>0.71530300000000002</v>
      </c>
      <c r="I16" s="1">
        <f t="shared" ca="1" si="7"/>
        <v>0.71530300000000002</v>
      </c>
      <c r="J16" s="1" t="str">
        <f t="shared" si="8"/>
        <v>EURDF3M15=.EONIA</v>
      </c>
      <c r="K16" s="1" t="str">
        <f t="shared" ca="1" si="9"/>
        <v/>
      </c>
      <c r="L16" s="6">
        <f t="shared" ca="1" si="10"/>
        <v>0.80951300000000004</v>
      </c>
      <c r="M16" s="1">
        <f t="shared" ca="1" si="11"/>
        <v>0.80951300000000004</v>
      </c>
    </row>
    <row r="17" spans="1:13">
      <c r="A17" s="1">
        <v>16</v>
      </c>
      <c r="B17" s="1" t="str">
        <f t="shared" si="0"/>
        <v>EURDFSTD16=.EONIA</v>
      </c>
      <c r="C17" s="1" t="str">
        <f t="shared" ca="1" si="1"/>
        <v/>
      </c>
      <c r="D17" s="4">
        <f t="shared" ca="1" si="2"/>
        <v>0.278109</v>
      </c>
      <c r="E17" s="5">
        <f t="shared" ca="1" si="3"/>
        <v>0.278109</v>
      </c>
      <c r="F17" s="1" t="str">
        <f t="shared" si="4"/>
        <v>EURDF6M16=.EONIA</v>
      </c>
      <c r="G17" s="1" t="str">
        <f t="shared" ca="1" si="5"/>
        <v/>
      </c>
      <c r="H17" s="6">
        <f t="shared" ca="1" si="6"/>
        <v>0.36058400000000002</v>
      </c>
      <c r="I17" s="1">
        <f t="shared" ca="1" si="7"/>
        <v>0.36058400000000002</v>
      </c>
      <c r="J17" s="1" t="str">
        <f t="shared" si="8"/>
        <v>EURDF3M16=.EONIA</v>
      </c>
      <c r="K17" s="1" t="str">
        <f t="shared" ca="1" si="9"/>
        <v/>
      </c>
      <c r="L17" s="6">
        <f t="shared" ca="1" si="10"/>
        <v>0.207506</v>
      </c>
      <c r="M17" s="1">
        <f t="shared" ca="1" si="11"/>
        <v>0.207506</v>
      </c>
    </row>
    <row r="18" spans="1:13">
      <c r="A18" s="1">
        <v>17</v>
      </c>
      <c r="B18" s="1" t="str">
        <f t="shared" si="0"/>
        <v>EURDFSTD17=.EONIA</v>
      </c>
      <c r="C18" s="1" t="str">
        <f t="shared" ca="1" si="1"/>
        <v/>
      </c>
      <c r="D18" s="4">
        <f t="shared" ca="1" si="2"/>
        <v>0.65966899999999995</v>
      </c>
      <c r="E18" s="5">
        <f t="shared" ca="1" si="3"/>
        <v>0.65966899999999995</v>
      </c>
      <c r="F18" s="1" t="str">
        <f t="shared" si="4"/>
        <v>EURDF6M17=.EONIA</v>
      </c>
      <c r="G18" s="1" t="str">
        <f t="shared" ca="1" si="5"/>
        <v/>
      </c>
      <c r="H18" s="6">
        <f t="shared" ca="1" si="6"/>
        <v>0.91264000000000001</v>
      </c>
      <c r="I18" s="1">
        <f t="shared" ca="1" si="7"/>
        <v>0.91264000000000001</v>
      </c>
      <c r="J18" s="1" t="str">
        <f t="shared" si="8"/>
        <v>EURDF3M17=.EONIA</v>
      </c>
      <c r="K18" s="1" t="str">
        <f t="shared" ca="1" si="9"/>
        <v/>
      </c>
      <c r="L18" s="6">
        <f t="shared" ca="1" si="10"/>
        <v>0.16003600000000001</v>
      </c>
      <c r="M18" s="1">
        <f t="shared" ca="1" si="11"/>
        <v>0.16003600000000001</v>
      </c>
    </row>
    <row r="19" spans="1:13">
      <c r="A19" s="1">
        <v>18</v>
      </c>
      <c r="B19" s="1" t="str">
        <f t="shared" si="0"/>
        <v>EURDFSTD18=.EONIA</v>
      </c>
      <c r="C19" s="1" t="str">
        <f t="shared" ca="1" si="1"/>
        <v/>
      </c>
      <c r="D19" s="4">
        <f t="shared" ca="1" si="2"/>
        <v>0.23075300000000001</v>
      </c>
      <c r="E19" s="5">
        <f t="shared" ca="1" si="3"/>
        <v>0.23075300000000001</v>
      </c>
      <c r="F19" s="1" t="str">
        <f t="shared" si="4"/>
        <v>EURDF6M18=.EONIA</v>
      </c>
      <c r="G19" s="1" t="str">
        <f t="shared" ca="1" si="5"/>
        <v/>
      </c>
      <c r="H19" s="6">
        <f t="shared" ca="1" si="6"/>
        <v>0.18576799999999999</v>
      </c>
      <c r="I19" s="1">
        <f t="shared" ca="1" si="7"/>
        <v>0.18576799999999999</v>
      </c>
      <c r="J19" s="1" t="str">
        <f t="shared" si="8"/>
        <v>EURDF3M18=.EONIA</v>
      </c>
      <c r="K19" s="1" t="str">
        <f t="shared" ca="1" si="9"/>
        <v/>
      </c>
      <c r="L19" s="6">
        <f t="shared" ca="1" si="10"/>
        <v>0.53692600000000001</v>
      </c>
      <c r="M19" s="1">
        <f t="shared" ca="1" si="11"/>
        <v>0.53692600000000001</v>
      </c>
    </row>
    <row r="20" spans="1:13">
      <c r="A20" s="1">
        <v>19</v>
      </c>
      <c r="B20" s="1" t="str">
        <f t="shared" si="0"/>
        <v>EURDFSTD19=.EONIA</v>
      </c>
      <c r="C20" s="1" t="str">
        <f t="shared" ca="1" si="1"/>
        <v/>
      </c>
      <c r="D20" s="4">
        <f t="shared" ca="1" si="2"/>
        <v>0.45024500000000001</v>
      </c>
      <c r="E20" s="5">
        <f t="shared" ca="1" si="3"/>
        <v>0.45024500000000001</v>
      </c>
      <c r="F20" s="1" t="str">
        <f t="shared" si="4"/>
        <v>EURDF6M19=.EONIA</v>
      </c>
      <c r="G20" s="1" t="str">
        <f t="shared" ca="1" si="5"/>
        <v/>
      </c>
      <c r="H20" s="6">
        <f t="shared" ca="1" si="6"/>
        <v>0.30982599999999999</v>
      </c>
      <c r="I20" s="1">
        <f t="shared" ca="1" si="7"/>
        <v>0.30982599999999999</v>
      </c>
      <c r="J20" s="1" t="str">
        <f t="shared" si="8"/>
        <v>EURDF3M19=.EONIA</v>
      </c>
      <c r="K20" s="1" t="str">
        <f t="shared" ca="1" si="9"/>
        <v/>
      </c>
      <c r="L20" s="6">
        <f t="shared" ca="1" si="10"/>
        <v>0.91829300000000003</v>
      </c>
      <c r="M20" s="1">
        <f t="shared" ca="1" si="11"/>
        <v>0.91829300000000003</v>
      </c>
    </row>
    <row r="21" spans="1:13">
      <c r="A21" s="1">
        <v>20</v>
      </c>
      <c r="B21" s="1" t="str">
        <f t="shared" si="0"/>
        <v>EURDFSTD20=.EONIA</v>
      </c>
      <c r="C21" s="1" t="str">
        <f t="shared" ca="1" si="1"/>
        <v/>
      </c>
      <c r="D21" s="4">
        <f t="shared" ca="1" si="2"/>
        <v>0.36357400000000001</v>
      </c>
      <c r="E21" s="5">
        <f t="shared" ca="1" si="3"/>
        <v>0.36357400000000001</v>
      </c>
      <c r="F21" s="1" t="str">
        <f t="shared" si="4"/>
        <v>EURDF6M20=.EONIA</v>
      </c>
      <c r="G21" s="1" t="str">
        <f t="shared" ca="1" si="5"/>
        <v/>
      </c>
      <c r="H21" s="6">
        <f t="shared" ca="1" si="6"/>
        <v>5.7350999999999999E-2</v>
      </c>
      <c r="I21" s="1">
        <f t="shared" ca="1" si="7"/>
        <v>5.7350999999999999E-2</v>
      </c>
      <c r="J21" s="1" t="str">
        <f t="shared" si="8"/>
        <v>EURDF3M20=.EONIA</v>
      </c>
      <c r="K21" s="1" t="str">
        <f t="shared" ca="1" si="9"/>
        <v/>
      </c>
      <c r="L21" s="6">
        <f t="shared" ca="1" si="10"/>
        <v>0.64264900000000003</v>
      </c>
      <c r="M21" s="1">
        <f t="shared" ca="1" si="11"/>
        <v>0.64264900000000003</v>
      </c>
    </row>
    <row r="22" spans="1:13">
      <c r="A22" s="1">
        <v>21</v>
      </c>
      <c r="B22" s="1" t="str">
        <f t="shared" si="0"/>
        <v>EURDFSTD21=.EONIA</v>
      </c>
      <c r="C22" s="1" t="str">
        <f t="shared" ca="1" si="1"/>
        <v/>
      </c>
      <c r="D22" s="4">
        <f t="shared" ca="1" si="2"/>
        <v>2.0052E-2</v>
      </c>
      <c r="E22" s="5">
        <f t="shared" ca="1" si="3"/>
        <v>2.0052E-2</v>
      </c>
      <c r="F22" s="1" t="str">
        <f t="shared" si="4"/>
        <v>EURDF6M21=.EONIA</v>
      </c>
      <c r="G22" s="1" t="str">
        <f t="shared" ca="1" si="5"/>
        <v/>
      </c>
      <c r="H22" s="6">
        <f t="shared" ca="1" si="6"/>
        <v>0.85330099999999998</v>
      </c>
      <c r="I22" s="1">
        <f t="shared" ca="1" si="7"/>
        <v>0.85330099999999998</v>
      </c>
      <c r="J22" s="1" t="str">
        <f t="shared" si="8"/>
        <v>EURDF3M21=.EONIA</v>
      </c>
      <c r="K22" s="1" t="str">
        <f t="shared" ca="1" si="9"/>
        <v/>
      </c>
      <c r="L22" s="6">
        <f t="shared" ca="1" si="10"/>
        <v>0.78826300000000005</v>
      </c>
      <c r="M22" s="1">
        <f t="shared" ca="1" si="11"/>
        <v>0.78826300000000005</v>
      </c>
    </row>
    <row r="23" spans="1:13">
      <c r="A23" s="1">
        <v>22</v>
      </c>
      <c r="B23" s="1" t="str">
        <f t="shared" si="0"/>
        <v>EURDFSTD22=.EONIA</v>
      </c>
      <c r="C23" s="1" t="str">
        <f t="shared" ca="1" si="1"/>
        <v/>
      </c>
      <c r="D23" s="4">
        <f t="shared" ca="1" si="2"/>
        <v>0.222137</v>
      </c>
      <c r="E23" s="5">
        <f t="shared" ca="1" si="3"/>
        <v>0.222137</v>
      </c>
      <c r="F23" s="1" t="str">
        <f t="shared" si="4"/>
        <v>EURDF6M22=.EONIA</v>
      </c>
      <c r="G23" s="1" t="str">
        <f t="shared" ca="1" si="5"/>
        <v/>
      </c>
      <c r="H23" s="6">
        <f t="shared" ca="1" si="6"/>
        <v>0.46405299999999999</v>
      </c>
      <c r="I23" s="1">
        <f t="shared" ca="1" si="7"/>
        <v>0.46405299999999999</v>
      </c>
      <c r="J23" s="1" t="str">
        <f t="shared" si="8"/>
        <v>EURDF3M22=.EONIA</v>
      </c>
      <c r="K23" s="1" t="str">
        <f t="shared" ca="1" si="9"/>
        <v/>
      </c>
      <c r="L23" s="6">
        <f t="shared" ca="1" si="10"/>
        <v>0.95603499999999997</v>
      </c>
      <c r="M23" s="1">
        <f t="shared" ca="1" si="11"/>
        <v>0.95603499999999997</v>
      </c>
    </row>
    <row r="24" spans="1:13">
      <c r="A24" s="1">
        <v>23</v>
      </c>
      <c r="B24" s="1" t="str">
        <f t="shared" si="0"/>
        <v>EURDFSTD23=.EONIA</v>
      </c>
      <c r="C24" s="1" t="str">
        <f t="shared" ca="1" si="1"/>
        <v/>
      </c>
      <c r="D24" s="4">
        <f t="shared" ca="1" si="2"/>
        <v>0.86409000000000002</v>
      </c>
      <c r="E24" s="5">
        <f t="shared" ca="1" si="3"/>
        <v>0.86409000000000002</v>
      </c>
      <c r="F24" s="1" t="str">
        <f t="shared" si="4"/>
        <v>EURDF6M23=.EONIA</v>
      </c>
      <c r="G24" s="1" t="str">
        <f t="shared" ca="1" si="5"/>
        <v/>
      </c>
      <c r="H24" s="6">
        <f t="shared" ca="1" si="6"/>
        <v>0.69688799999999995</v>
      </c>
      <c r="I24" s="1">
        <f t="shared" ca="1" si="7"/>
        <v>0.69688799999999995</v>
      </c>
      <c r="J24" s="1" t="str">
        <f t="shared" si="8"/>
        <v>EURDF3M23=.EONIA</v>
      </c>
      <c r="K24" s="1" t="str">
        <f t="shared" ca="1" si="9"/>
        <v/>
      </c>
      <c r="L24" s="6">
        <f t="shared" ca="1" si="10"/>
        <v>7.5960000000000003E-3</v>
      </c>
      <c r="M24" s="1">
        <f t="shared" ca="1" si="11"/>
        <v>7.5960000000000003E-3</v>
      </c>
    </row>
    <row r="25" spans="1:13">
      <c r="A25" s="1">
        <v>24</v>
      </c>
      <c r="B25" s="1" t="str">
        <f t="shared" si="0"/>
        <v>EURDFSTD24=.EONIA</v>
      </c>
      <c r="C25" s="1" t="str">
        <f t="shared" ca="1" si="1"/>
        <v/>
      </c>
      <c r="D25" s="4">
        <f t="shared" ca="1" si="2"/>
        <v>0.68261099999999997</v>
      </c>
      <c r="E25" s="5">
        <f t="shared" ca="1" si="3"/>
        <v>0.68261099999999997</v>
      </c>
      <c r="F25" s="1" t="str">
        <f t="shared" si="4"/>
        <v>EURDF6M24=.EONIA</v>
      </c>
      <c r="G25" s="1" t="str">
        <f t="shared" ca="1" si="5"/>
        <v/>
      </c>
      <c r="H25" s="6">
        <f t="shared" ca="1" si="6"/>
        <v>0.53035500000000002</v>
      </c>
      <c r="I25" s="1">
        <f t="shared" ca="1" si="7"/>
        <v>0.53035500000000002</v>
      </c>
      <c r="J25" s="1" t="str">
        <f t="shared" si="8"/>
        <v>EURDF3M24=.EONIA</v>
      </c>
      <c r="K25" s="1" t="str">
        <f t="shared" ca="1" si="9"/>
        <v/>
      </c>
      <c r="L25" s="6">
        <f t="shared" ca="1" si="10"/>
        <v>0.46107599999999999</v>
      </c>
      <c r="M25" s="1">
        <f t="shared" ca="1" si="11"/>
        <v>0.46107599999999999</v>
      </c>
    </row>
    <row r="26" spans="1:13">
      <c r="A26" s="1">
        <v>25</v>
      </c>
      <c r="B26" s="1" t="str">
        <f t="shared" si="0"/>
        <v>EURDFSTD25=.EONIA</v>
      </c>
      <c r="C26" s="1" t="str">
        <f t="shared" ca="1" si="1"/>
        <v/>
      </c>
      <c r="D26" s="4">
        <f t="shared" ca="1" si="2"/>
        <v>0.61106400000000005</v>
      </c>
      <c r="E26" s="5">
        <f t="shared" ca="1" si="3"/>
        <v>0.61106400000000005</v>
      </c>
      <c r="F26" s="1" t="str">
        <f t="shared" si="4"/>
        <v>EURDF6M25=.EONIA</v>
      </c>
      <c r="G26" s="1" t="str">
        <f t="shared" ca="1" si="5"/>
        <v/>
      </c>
      <c r="H26" s="6">
        <f t="shared" ca="1" si="6"/>
        <v>0.60296799999999995</v>
      </c>
      <c r="I26" s="1">
        <f t="shared" ca="1" si="7"/>
        <v>0.60296799999999995</v>
      </c>
      <c r="J26" s="1" t="str">
        <f t="shared" si="8"/>
        <v>EURDF3M25=.EONIA</v>
      </c>
      <c r="K26" s="1" t="str">
        <f t="shared" ca="1" si="9"/>
        <v/>
      </c>
      <c r="L26" s="6">
        <f t="shared" ca="1" si="10"/>
        <v>9.7188999999999998E-2</v>
      </c>
      <c r="M26" s="1">
        <f t="shared" ca="1" si="11"/>
        <v>9.7188999999999998E-2</v>
      </c>
    </row>
    <row r="27" spans="1:13">
      <c r="A27" s="1">
        <v>26</v>
      </c>
      <c r="B27" s="1" t="str">
        <f t="shared" si="0"/>
        <v>EURDFSTD26=.EONIA</v>
      </c>
      <c r="C27" s="1" t="str">
        <f t="shared" ca="1" si="1"/>
        <v/>
      </c>
      <c r="D27" s="4">
        <f t="shared" ca="1" si="2"/>
        <v>0.22392699999999999</v>
      </c>
      <c r="E27" s="5">
        <f t="shared" ca="1" si="3"/>
        <v>0.22392699999999999</v>
      </c>
      <c r="F27" s="1" t="str">
        <f t="shared" si="4"/>
        <v>EURDF6M26=.EONIA</v>
      </c>
      <c r="G27" s="1" t="str">
        <f t="shared" ca="1" si="5"/>
        <v/>
      </c>
      <c r="H27" s="6">
        <f t="shared" ca="1" si="6"/>
        <v>0.65568099999999996</v>
      </c>
      <c r="I27" s="1">
        <f t="shared" ca="1" si="7"/>
        <v>0.65568099999999996</v>
      </c>
      <c r="J27" s="1" t="str">
        <f t="shared" si="8"/>
        <v>EURDF3M26=.EONIA</v>
      </c>
      <c r="K27" s="1" t="str">
        <f t="shared" ca="1" si="9"/>
        <v/>
      </c>
      <c r="L27" s="6">
        <f t="shared" ca="1" si="10"/>
        <v>0.106654</v>
      </c>
      <c r="M27" s="1">
        <f t="shared" ca="1" si="11"/>
        <v>0.106654</v>
      </c>
    </row>
    <row r="28" spans="1:13">
      <c r="A28" s="1">
        <v>27</v>
      </c>
      <c r="B28" s="1" t="str">
        <f t="shared" si="0"/>
        <v>EURDFSTD27=.EONIA</v>
      </c>
      <c r="C28" s="1" t="str">
        <f t="shared" ca="1" si="1"/>
        <v/>
      </c>
      <c r="D28" s="4">
        <f t="shared" ca="1" si="2"/>
        <v>0.46163199999999999</v>
      </c>
      <c r="E28" s="5">
        <f t="shared" ca="1" si="3"/>
        <v>0.46163199999999999</v>
      </c>
      <c r="F28" s="1" t="str">
        <f t="shared" si="4"/>
        <v>EURDF6M27=.EONIA</v>
      </c>
      <c r="G28" s="1" t="str">
        <f t="shared" ca="1" si="5"/>
        <v/>
      </c>
      <c r="H28" s="6">
        <f t="shared" ca="1" si="6"/>
        <v>0.82064300000000001</v>
      </c>
      <c r="I28" s="1">
        <f t="shared" ca="1" si="7"/>
        <v>0.82064300000000001</v>
      </c>
      <c r="J28" s="1" t="str">
        <f t="shared" si="8"/>
        <v>EURDF3M27=.EONIA</v>
      </c>
      <c r="K28" s="1" t="str">
        <f t="shared" ca="1" si="9"/>
        <v/>
      </c>
      <c r="L28" s="6">
        <f t="shared" ca="1" si="10"/>
        <v>0.94970100000000002</v>
      </c>
      <c r="M28" s="1">
        <f t="shared" ca="1" si="11"/>
        <v>0.94970100000000002</v>
      </c>
    </row>
    <row r="29" spans="1:13">
      <c r="A29" s="1">
        <v>28</v>
      </c>
      <c r="B29" s="1" t="str">
        <f t="shared" si="0"/>
        <v>EURDFSTD28=.EONIA</v>
      </c>
      <c r="C29" s="1" t="str">
        <f t="shared" ca="1" si="1"/>
        <v/>
      </c>
      <c r="D29" s="4">
        <f t="shared" ca="1" si="2"/>
        <v>6.5557000000000004E-2</v>
      </c>
      <c r="E29" s="5">
        <f t="shared" ca="1" si="3"/>
        <v>6.5557000000000004E-2</v>
      </c>
      <c r="F29" s="1" t="str">
        <f t="shared" si="4"/>
        <v>EURDF6M28=.EONIA</v>
      </c>
      <c r="G29" s="1" t="str">
        <f t="shared" ca="1" si="5"/>
        <v/>
      </c>
      <c r="H29" s="6">
        <f t="shared" ca="1" si="6"/>
        <v>0.49806899999999998</v>
      </c>
      <c r="I29" s="1">
        <f t="shared" ca="1" si="7"/>
        <v>0.49806899999999998</v>
      </c>
      <c r="J29" s="1" t="str">
        <f t="shared" si="8"/>
        <v>EURDF3M28=.EONIA</v>
      </c>
      <c r="K29" s="1" t="str">
        <f t="shared" ca="1" si="9"/>
        <v/>
      </c>
      <c r="L29" s="6">
        <f t="shared" ca="1" si="10"/>
        <v>0.72938899999999995</v>
      </c>
      <c r="M29" s="1">
        <f t="shared" ca="1" si="11"/>
        <v>0.72938899999999995</v>
      </c>
    </row>
    <row r="30" spans="1:13">
      <c r="A30" s="1">
        <v>29</v>
      </c>
      <c r="B30" s="1" t="str">
        <f t="shared" si="0"/>
        <v>EURDFSTD29=.EONIA</v>
      </c>
      <c r="C30" s="1" t="str">
        <f t="shared" ca="1" si="1"/>
        <v/>
      </c>
      <c r="D30" s="4">
        <f t="shared" ca="1" si="2"/>
        <v>7.7462000000000003E-2</v>
      </c>
      <c r="E30" s="5">
        <f t="shared" ca="1" si="3"/>
        <v>7.7462000000000003E-2</v>
      </c>
      <c r="F30" s="1" t="str">
        <f t="shared" si="4"/>
        <v>EURDF6M29=.EONIA</v>
      </c>
      <c r="G30" s="1" t="str">
        <f t="shared" ca="1" si="5"/>
        <v/>
      </c>
      <c r="H30" s="6">
        <f t="shared" ca="1" si="6"/>
        <v>0.81873399999999996</v>
      </c>
      <c r="I30" s="1">
        <f t="shared" ca="1" si="7"/>
        <v>0.81873399999999996</v>
      </c>
      <c r="J30" s="1" t="str">
        <f t="shared" si="8"/>
        <v>EURDF3M29=.EONIA</v>
      </c>
      <c r="K30" s="1" t="str">
        <f t="shared" ca="1" si="9"/>
        <v/>
      </c>
      <c r="L30" s="6">
        <f t="shared" ca="1" si="10"/>
        <v>0.39422400000000002</v>
      </c>
      <c r="M30" s="1">
        <f t="shared" ca="1" si="11"/>
        <v>0.39422400000000002</v>
      </c>
    </row>
    <row r="31" spans="1:13">
      <c r="A31" s="1">
        <v>30</v>
      </c>
      <c r="B31" s="1" t="str">
        <f t="shared" si="0"/>
        <v>EURDFSTD30=.EONIA</v>
      </c>
      <c r="C31" s="1" t="str">
        <f t="shared" ca="1" si="1"/>
        <v/>
      </c>
      <c r="D31" s="4">
        <f t="shared" ca="1" si="2"/>
        <v>0.473215</v>
      </c>
      <c r="E31" s="5">
        <f t="shared" ca="1" si="3"/>
        <v>0.473215</v>
      </c>
      <c r="F31" s="1" t="str">
        <f t="shared" si="4"/>
        <v>EURDF6M30=.EONIA</v>
      </c>
      <c r="G31" s="1" t="str">
        <f t="shared" ca="1" si="5"/>
        <v/>
      </c>
      <c r="H31" s="6">
        <f t="shared" ca="1" si="6"/>
        <v>0.69319500000000001</v>
      </c>
      <c r="I31" s="1">
        <f t="shared" ca="1" si="7"/>
        <v>0.69319500000000001</v>
      </c>
      <c r="J31" s="1" t="str">
        <f t="shared" si="8"/>
        <v>EURDF3M30=.EONIA</v>
      </c>
      <c r="K31" s="1" t="str">
        <f t="shared" ca="1" si="9"/>
        <v/>
      </c>
      <c r="L31" s="6">
        <f t="shared" ca="1" si="10"/>
        <v>3.6255000000000003E-2</v>
      </c>
      <c r="M31" s="1">
        <f t="shared" ca="1" si="11"/>
        <v>3.6255000000000003E-2</v>
      </c>
    </row>
    <row r="32" spans="1:13">
      <c r="A32" s="1">
        <v>31</v>
      </c>
      <c r="B32" s="1" t="str">
        <f t="shared" si="0"/>
        <v>EURDFSTD31=.EONIA</v>
      </c>
      <c r="C32" s="1" t="str">
        <f t="shared" ca="1" si="1"/>
        <v/>
      </c>
      <c r="D32" s="4">
        <f t="shared" ca="1" si="2"/>
        <v>0.45411699999999999</v>
      </c>
      <c r="E32" s="5">
        <f t="shared" ca="1" si="3"/>
        <v>0.45411699999999999</v>
      </c>
      <c r="F32" s="1" t="str">
        <f t="shared" si="4"/>
        <v>EURDF6M31=.EONIA</v>
      </c>
      <c r="G32" s="1" t="str">
        <f t="shared" ca="1" si="5"/>
        <v/>
      </c>
      <c r="H32" s="6">
        <f t="shared" ca="1" si="6"/>
        <v>0.66814499999999999</v>
      </c>
      <c r="I32" s="1">
        <f t="shared" ca="1" si="7"/>
        <v>0.66814499999999999</v>
      </c>
      <c r="J32" s="1" t="str">
        <f t="shared" si="8"/>
        <v>EURDF3M31=.EONIA</v>
      </c>
      <c r="K32" s="1" t="str">
        <f t="shared" ca="1" si="9"/>
        <v/>
      </c>
      <c r="L32" s="6">
        <f t="shared" ca="1" si="10"/>
        <v>0.52864999999999995</v>
      </c>
      <c r="M32" s="1">
        <f t="shared" ca="1" si="11"/>
        <v>0.52864999999999995</v>
      </c>
    </row>
    <row r="33" spans="1:13">
      <c r="A33" s="1">
        <v>32</v>
      </c>
      <c r="B33" s="1" t="str">
        <f t="shared" si="0"/>
        <v>EURDFSTD32=.EONIA</v>
      </c>
      <c r="C33" s="1" t="str">
        <f t="shared" ca="1" si="1"/>
        <v/>
      </c>
      <c r="D33" s="4">
        <f t="shared" ca="1" si="2"/>
        <v>0.45507900000000001</v>
      </c>
      <c r="E33" s="5">
        <f t="shared" ca="1" si="3"/>
        <v>0.45507900000000001</v>
      </c>
      <c r="F33" s="1" t="str">
        <f t="shared" si="4"/>
        <v>EURDF6M32=.EONIA</v>
      </c>
      <c r="G33" s="1" t="str">
        <f t="shared" ca="1" si="5"/>
        <v/>
      </c>
      <c r="H33" s="6">
        <f t="shared" ca="1" si="6"/>
        <v>0.73977599999999999</v>
      </c>
      <c r="I33" s="1">
        <f t="shared" ca="1" si="7"/>
        <v>0.73977599999999999</v>
      </c>
      <c r="J33" s="1" t="str">
        <f t="shared" si="8"/>
        <v>EURDF3M32=.EONIA</v>
      </c>
      <c r="K33" s="1" t="str">
        <f t="shared" ca="1" si="9"/>
        <v/>
      </c>
      <c r="L33" s="6">
        <f t="shared" ca="1" si="10"/>
        <v>0.20899699999999999</v>
      </c>
      <c r="M33" s="1">
        <f t="shared" ca="1" si="11"/>
        <v>0.20899699999999999</v>
      </c>
    </row>
    <row r="34" spans="1:13">
      <c r="A34" s="1">
        <v>33</v>
      </c>
      <c r="B34" s="1" t="str">
        <f t="shared" si="0"/>
        <v>EURDFSTD33=.EONIA</v>
      </c>
      <c r="C34" s="1" t="str">
        <f t="shared" ca="1" si="1"/>
        <v/>
      </c>
      <c r="D34" s="4">
        <f t="shared" ca="1" si="2"/>
        <v>0.39869500000000002</v>
      </c>
      <c r="E34" s="5">
        <f t="shared" ca="1" si="3"/>
        <v>0.39869500000000002</v>
      </c>
      <c r="F34" s="1" t="str">
        <f t="shared" si="4"/>
        <v>EURDF6M33=.EONIA</v>
      </c>
      <c r="G34" s="1" t="str">
        <f t="shared" ca="1" si="5"/>
        <v/>
      </c>
      <c r="H34" s="6">
        <f t="shared" ca="1" si="6"/>
        <v>0.49509399999999998</v>
      </c>
      <c r="I34" s="1">
        <f t="shared" ca="1" si="7"/>
        <v>0.49509399999999998</v>
      </c>
      <c r="J34" s="1" t="str">
        <f t="shared" si="8"/>
        <v>EURDF3M33=.EONIA</v>
      </c>
      <c r="K34" s="1" t="str">
        <f t="shared" ca="1" si="9"/>
        <v/>
      </c>
      <c r="L34" s="6">
        <f t="shared" ca="1" si="10"/>
        <v>0.86215600000000003</v>
      </c>
      <c r="M34" s="1">
        <f t="shared" ca="1" si="11"/>
        <v>0.86215600000000003</v>
      </c>
    </row>
    <row r="35" spans="1:13">
      <c r="A35" s="1">
        <v>34</v>
      </c>
      <c r="B35" s="1" t="str">
        <f t="shared" si="0"/>
        <v>EURDFSTD34=.EONIA</v>
      </c>
      <c r="C35" s="1" t="str">
        <f t="shared" ca="1" si="1"/>
        <v/>
      </c>
      <c r="D35" s="4">
        <f t="shared" ca="1" si="2"/>
        <v>0.82172500000000004</v>
      </c>
      <c r="E35" s="5">
        <f t="shared" ca="1" si="3"/>
        <v>0.82172500000000004</v>
      </c>
      <c r="F35" s="1" t="str">
        <f t="shared" si="4"/>
        <v>EURDF6M34=.EONIA</v>
      </c>
      <c r="G35" s="1" t="str">
        <f t="shared" ca="1" si="5"/>
        <v/>
      </c>
      <c r="H35" s="6">
        <f t="shared" ca="1" si="6"/>
        <v>0.21307200000000001</v>
      </c>
      <c r="I35" s="1">
        <f t="shared" ca="1" si="7"/>
        <v>0.21307200000000001</v>
      </c>
      <c r="J35" s="1" t="str">
        <f t="shared" si="8"/>
        <v>EURDF3M34=.EONIA</v>
      </c>
      <c r="K35" s="1" t="str">
        <f t="shared" ca="1" si="9"/>
        <v/>
      </c>
      <c r="L35" s="6">
        <f t="shared" ca="1" si="10"/>
        <v>0.54198100000000005</v>
      </c>
      <c r="M35" s="1">
        <f t="shared" ca="1" si="11"/>
        <v>0.54198100000000005</v>
      </c>
    </row>
    <row r="36" spans="1:13">
      <c r="A36" s="1">
        <v>35</v>
      </c>
      <c r="B36" s="1" t="str">
        <f t="shared" si="0"/>
        <v>EURDFSTD35=.EONIA</v>
      </c>
      <c r="C36" s="1" t="str">
        <f t="shared" ca="1" si="1"/>
        <v/>
      </c>
      <c r="D36" s="4">
        <f t="shared" ca="1" si="2"/>
        <v>0.87359500000000001</v>
      </c>
      <c r="E36" s="5">
        <f t="shared" ca="1" si="3"/>
        <v>0.87359500000000001</v>
      </c>
      <c r="F36" s="1" t="str">
        <f t="shared" si="4"/>
        <v>EURDF6M35=.EONIA</v>
      </c>
      <c r="G36" s="1" t="str">
        <f t="shared" ca="1" si="5"/>
        <v/>
      </c>
      <c r="H36" s="6">
        <f t="shared" ca="1" si="6"/>
        <v>0.27551900000000001</v>
      </c>
      <c r="I36" s="1">
        <f t="shared" ca="1" si="7"/>
        <v>0.27551900000000001</v>
      </c>
      <c r="J36" s="1" t="str">
        <f t="shared" si="8"/>
        <v>EURDF3M35=.EONIA</v>
      </c>
      <c r="K36" s="1" t="str">
        <f t="shared" ca="1" si="9"/>
        <v/>
      </c>
      <c r="L36" s="6">
        <f t="shared" ca="1" si="10"/>
        <v>0.39758599999999999</v>
      </c>
      <c r="M36" s="1">
        <f t="shared" ca="1" si="11"/>
        <v>0.39758599999999999</v>
      </c>
    </row>
    <row r="37" spans="1:13">
      <c r="A37" s="1">
        <v>36</v>
      </c>
      <c r="F37" s="1" t="str">
        <f>CONCATENATE("EURDF6M",A37,"=.EONIA")</f>
        <v>EURDF6M36=.EONIA</v>
      </c>
      <c r="G37" s="1" t="str">
        <f t="shared" ca="1" si="5"/>
        <v/>
      </c>
      <c r="H37" s="6">
        <f t="shared" ca="1" si="6"/>
        <v>0.61492400000000003</v>
      </c>
      <c r="I37" s="1">
        <f t="shared" ca="1" si="7"/>
        <v>0.61492400000000003</v>
      </c>
      <c r="J37" s="1" t="str">
        <f t="shared" si="8"/>
        <v>EURDF3M36=.EONIA</v>
      </c>
      <c r="K37" s="1" t="str">
        <f t="shared" ca="1" si="9"/>
        <v/>
      </c>
      <c r="L37" s="6">
        <f t="shared" ca="1" si="10"/>
        <v>0.51099499999999998</v>
      </c>
      <c r="M37" s="1">
        <f t="shared" ca="1" si="11"/>
        <v>0.51099499999999998</v>
      </c>
    </row>
    <row r="38" spans="1:13">
      <c r="A38" s="1">
        <v>37</v>
      </c>
      <c r="F38" s="1" t="str">
        <f t="shared" si="4"/>
        <v>EURDF6M37=.EONIA</v>
      </c>
      <c r="G38" s="1" t="str">
        <f t="shared" ca="1" si="5"/>
        <v/>
      </c>
      <c r="H38" s="6">
        <f t="shared" ca="1" si="6"/>
        <v>0.34678700000000001</v>
      </c>
      <c r="I38" s="1">
        <f t="shared" ca="1" si="7"/>
        <v>0.34678700000000001</v>
      </c>
      <c r="J38" s="1" t="str">
        <f t="shared" si="8"/>
        <v>EURDF3M37=.EONIA</v>
      </c>
      <c r="K38" s="1" t="str">
        <f t="shared" ca="1" si="9"/>
        <v/>
      </c>
      <c r="L38" s="6">
        <f t="shared" ca="1" si="10"/>
        <v>0.66567399999999999</v>
      </c>
      <c r="M38" s="1">
        <f t="shared" ca="1" si="11"/>
        <v>0.66567399999999999</v>
      </c>
    </row>
    <row r="39" spans="1:13">
      <c r="A39" s="1">
        <v>38</v>
      </c>
      <c r="F39" s="1" t="str">
        <f t="shared" si="4"/>
        <v>EURDF6M38=.EONIA</v>
      </c>
      <c r="G39" s="1" t="str">
        <f t="shared" ca="1" si="5"/>
        <v/>
      </c>
      <c r="H39" s="6">
        <f t="shared" ca="1" si="6"/>
        <v>0.88312199999999996</v>
      </c>
      <c r="I39" s="1">
        <f t="shared" ca="1" si="7"/>
        <v>0.88312199999999996</v>
      </c>
      <c r="J39" s="1" t="str">
        <f t="shared" si="8"/>
        <v>EURDF3M38=.EONIA</v>
      </c>
      <c r="K39" s="1" t="str">
        <f t="shared" ca="1" si="9"/>
        <v/>
      </c>
      <c r="L39" s="6">
        <f t="shared" ca="1" si="10"/>
        <v>0.270422</v>
      </c>
      <c r="M39" s="1">
        <f t="shared" ca="1" si="11"/>
        <v>0.270422</v>
      </c>
    </row>
    <row r="40" spans="1:13">
      <c r="A40" s="1">
        <v>39</v>
      </c>
      <c r="F40" s="1" t="str">
        <f t="shared" si="4"/>
        <v>EURDF6M39=.EONIA</v>
      </c>
      <c r="G40" s="1" t="str">
        <f t="shared" ca="1" si="5"/>
        <v/>
      </c>
      <c r="H40" s="6">
        <f t="shared" ca="1" si="6"/>
        <v>0.50425299999999995</v>
      </c>
      <c r="I40" s="1">
        <f t="shared" ca="1" si="7"/>
        <v>0.50425299999999995</v>
      </c>
      <c r="J40" s="1" t="str">
        <f t="shared" si="8"/>
        <v>EURDF3M39=.EONIA</v>
      </c>
      <c r="K40" s="1" t="str">
        <f t="shared" ca="1" si="9"/>
        <v/>
      </c>
      <c r="L40" s="6">
        <f t="shared" ca="1" si="10"/>
        <v>0.81677599999999995</v>
      </c>
      <c r="M40" s="1">
        <f t="shared" ca="1" si="11"/>
        <v>0.81677599999999995</v>
      </c>
    </row>
    <row r="41" spans="1:13">
      <c r="A41" s="1">
        <v>40</v>
      </c>
      <c r="F41" s="1" t="str">
        <f t="shared" si="4"/>
        <v>EURDF6M40=.EONIA</v>
      </c>
      <c r="G41" s="1" t="str">
        <f t="shared" ca="1" si="5"/>
        <v/>
      </c>
      <c r="H41" s="6">
        <f t="shared" ca="1" si="6"/>
        <v>0.92368399999999995</v>
      </c>
      <c r="I41" s="1">
        <f t="shared" ca="1" si="7"/>
        <v>0.92368399999999995</v>
      </c>
      <c r="J41" s="1" t="str">
        <f t="shared" si="8"/>
        <v>EURDF3M40=.EONIA</v>
      </c>
      <c r="K41" s="1" t="str">
        <f t="shared" ca="1" si="9"/>
        <v/>
      </c>
      <c r="L41" s="6">
        <f t="shared" ca="1" si="10"/>
        <v>0.37091099999999999</v>
      </c>
      <c r="M41" s="1">
        <f t="shared" ca="1" si="11"/>
        <v>0.37091099999999999</v>
      </c>
    </row>
    <row r="42" spans="1:13">
      <c r="A42" s="1">
        <v>41</v>
      </c>
      <c r="F42" s="1" t="str">
        <f t="shared" si="4"/>
        <v>EURDF6M41=.EONIA</v>
      </c>
      <c r="G42" s="1" t="str">
        <f t="shared" ca="1" si="5"/>
        <v/>
      </c>
      <c r="H42" s="6">
        <f t="shared" ca="1" si="6"/>
        <v>0.57187200000000005</v>
      </c>
      <c r="I42" s="1">
        <f t="shared" ca="1" si="7"/>
        <v>0.57187200000000005</v>
      </c>
    </row>
    <row r="43" spans="1:13">
      <c r="A43" s="1">
        <v>42</v>
      </c>
      <c r="F43" s="1" t="str">
        <f t="shared" si="4"/>
        <v>EURDF6M42=.EONIA</v>
      </c>
      <c r="G43" s="1" t="str">
        <f t="shared" ca="1" si="5"/>
        <v/>
      </c>
      <c r="H43" s="6">
        <f t="shared" ca="1" si="6"/>
        <v>0.46589399999999997</v>
      </c>
      <c r="I43" s="1">
        <f t="shared" ca="1" si="7"/>
        <v>0.46589399999999997</v>
      </c>
    </row>
    <row r="44" spans="1:13">
      <c r="A44" s="1">
        <v>43</v>
      </c>
      <c r="F44" s="1" t="str">
        <f t="shared" si="4"/>
        <v>EURDF6M43=.EONIA</v>
      </c>
      <c r="G44" s="1" t="str">
        <f t="shared" ca="1" si="5"/>
        <v/>
      </c>
      <c r="H44" s="6">
        <f t="shared" ca="1" si="6"/>
        <v>0.93730999999999998</v>
      </c>
      <c r="I44" s="1">
        <f t="shared" ca="1" si="7"/>
        <v>0.93730999999999998</v>
      </c>
    </row>
    <row r="45" spans="1:13">
      <c r="A45" s="1">
        <v>44</v>
      </c>
      <c r="F45" s="1" t="str">
        <f t="shared" si="4"/>
        <v>EURDF6M44=.EONIA</v>
      </c>
      <c r="G45" s="1" t="str">
        <f t="shared" ca="1" si="5"/>
        <v/>
      </c>
      <c r="H45" s="6">
        <f t="shared" ca="1" si="6"/>
        <v>0.68439300000000003</v>
      </c>
      <c r="I45" s="1">
        <f t="shared" ca="1" si="7"/>
        <v>0.68439300000000003</v>
      </c>
    </row>
    <row r="46" spans="1:13">
      <c r="A46" s="1">
        <v>45</v>
      </c>
      <c r="F46" s="1" t="str">
        <f t="shared" si="4"/>
        <v>EURDF6M45=.EONIA</v>
      </c>
      <c r="G46" s="1" t="str">
        <f t="shared" ca="1" si="5"/>
        <v/>
      </c>
      <c r="H46" s="6">
        <f t="shared" ca="1" si="6"/>
        <v>0.20351</v>
      </c>
      <c r="I46" s="1">
        <f t="shared" ca="1" si="7"/>
        <v>0.20351</v>
      </c>
    </row>
    <row r="47" spans="1:13">
      <c r="A47" s="1">
        <v>46</v>
      </c>
      <c r="F47" s="1" t="str">
        <f t="shared" si="4"/>
        <v>EURDF6M46=.EONIA</v>
      </c>
      <c r="G47" s="1" t="str">
        <f t="shared" ca="1" si="5"/>
        <v/>
      </c>
      <c r="H47" s="6">
        <f t="shared" ca="1" si="6"/>
        <v>0.45104100000000003</v>
      </c>
      <c r="I47" s="1">
        <f t="shared" ca="1" si="7"/>
        <v>0.45104100000000003</v>
      </c>
    </row>
    <row r="48" spans="1:13">
      <c r="A48" s="1">
        <v>47</v>
      </c>
      <c r="F48" s="1" t="str">
        <f t="shared" si="4"/>
        <v>EURDF6M47=.EONIA</v>
      </c>
      <c r="G48" s="1" t="str">
        <f t="shared" ca="1" si="5"/>
        <v/>
      </c>
      <c r="H48" s="6">
        <f t="shared" ca="1" si="6"/>
        <v>0.57369700000000001</v>
      </c>
      <c r="I48" s="1">
        <f t="shared" ca="1" si="7"/>
        <v>0.57369700000000001</v>
      </c>
    </row>
    <row r="49" spans="1:9">
      <c r="A49" s="1">
        <v>48</v>
      </c>
      <c r="F49" s="1" t="str">
        <f t="shared" si="4"/>
        <v>EURDF6M48=.EONIA</v>
      </c>
      <c r="G49" s="1" t="str">
        <f t="shared" ca="1" si="5"/>
        <v/>
      </c>
      <c r="H49" s="6">
        <f t="shared" ca="1" si="6"/>
        <v>7.0152999999999993E-2</v>
      </c>
      <c r="I49" s="1">
        <f t="shared" ca="1" si="7"/>
        <v>7.0152999999999993E-2</v>
      </c>
    </row>
    <row r="50" spans="1:9">
      <c r="A50" s="1">
        <v>49</v>
      </c>
      <c r="F50" s="1" t="str">
        <f t="shared" si="4"/>
        <v>EURDF6M49=.EONIA</v>
      </c>
      <c r="G50" s="1" t="str">
        <f t="shared" ca="1" si="5"/>
        <v/>
      </c>
      <c r="H50" s="6">
        <f t="shared" ca="1" si="6"/>
        <v>0.75698299999999996</v>
      </c>
      <c r="I50" s="1">
        <f t="shared" ca="1" si="7"/>
        <v>0.75698299999999996</v>
      </c>
    </row>
    <row r="51" spans="1:9">
      <c r="A51" s="1">
        <v>50</v>
      </c>
      <c r="F51" s="1" t="str">
        <f t="shared" si="4"/>
        <v>EURDF6M50=.EONIA</v>
      </c>
      <c r="G51" s="1" t="str">
        <f t="shared" ca="1" si="5"/>
        <v/>
      </c>
      <c r="H51" s="6">
        <f t="shared" ca="1" si="6"/>
        <v>0.97209500000000004</v>
      </c>
      <c r="I51" s="1">
        <f t="shared" ca="1" si="7"/>
        <v>0.97209500000000004</v>
      </c>
    </row>
    <row r="52" spans="1:9">
      <c r="A52" s="1">
        <v>51</v>
      </c>
    </row>
    <row r="53" spans="1:9">
      <c r="A53" s="1">
        <v>52</v>
      </c>
    </row>
    <row r="54" spans="1:9">
      <c r="A54" s="1">
        <v>53</v>
      </c>
    </row>
    <row r="55" spans="1:9">
      <c r="A55" s="1">
        <v>54</v>
      </c>
    </row>
    <row r="56" spans="1:9">
      <c r="A56" s="1">
        <v>55</v>
      </c>
    </row>
    <row r="57" spans="1:9">
      <c r="A57" s="1">
        <v>56</v>
      </c>
    </row>
    <row r="58" spans="1:9">
      <c r="A58" s="1">
        <v>57</v>
      </c>
    </row>
    <row r="59" spans="1:9">
      <c r="A59" s="1">
        <v>58</v>
      </c>
    </row>
    <row r="60" spans="1:9">
      <c r="A60" s="1">
        <v>59</v>
      </c>
    </row>
    <row r="61" spans="1:9">
      <c r="A61" s="1">
        <v>60</v>
      </c>
    </row>
    <row r="62" spans="1:9">
      <c r="A62" s="1">
        <v>61</v>
      </c>
    </row>
    <row r="63" spans="1:9">
      <c r="A63" s="1">
        <v>62</v>
      </c>
    </row>
    <row r="64" spans="1:9">
      <c r="A64" s="1">
        <v>63</v>
      </c>
    </row>
    <row r="65" spans="1:1">
      <c r="A65" s="1">
        <v>64</v>
      </c>
    </row>
    <row r="66" spans="1:1">
      <c r="A66" s="1">
        <v>65</v>
      </c>
    </row>
    <row r="67" spans="1:1">
      <c r="A67" s="1">
        <v>66</v>
      </c>
    </row>
    <row r="68" spans="1:1">
      <c r="A68" s="1">
        <v>67</v>
      </c>
    </row>
    <row r="69" spans="1:1">
      <c r="A69" s="1">
        <v>68</v>
      </c>
    </row>
    <row r="70" spans="1:1">
      <c r="A70" s="1">
        <v>69</v>
      </c>
    </row>
    <row r="71" spans="1:1">
      <c r="A71" s="1">
        <v>70</v>
      </c>
    </row>
    <row r="72" spans="1:1">
      <c r="A72" s="1">
        <v>71</v>
      </c>
    </row>
    <row r="73" spans="1:1">
      <c r="A73" s="1">
        <v>72</v>
      </c>
    </row>
    <row r="74" spans="1:1">
      <c r="A74" s="1">
        <v>73</v>
      </c>
    </row>
    <row r="75" spans="1:1">
      <c r="A75" s="1">
        <v>74</v>
      </c>
    </row>
    <row r="76" spans="1:1">
      <c r="A76" s="1">
        <v>75</v>
      </c>
    </row>
    <row r="77" spans="1:1">
      <c r="A77" s="1">
        <v>76</v>
      </c>
    </row>
    <row r="78" spans="1:1">
      <c r="A78" s="1">
        <v>77</v>
      </c>
    </row>
    <row r="79" spans="1:1">
      <c r="A79" s="1">
        <v>78</v>
      </c>
    </row>
    <row r="80" spans="1:1">
      <c r="A80" s="1">
        <v>79</v>
      </c>
    </row>
    <row r="81" spans="1:1">
      <c r="A81" s="1">
        <v>80</v>
      </c>
    </row>
    <row r="82" spans="1:1">
      <c r="A82" s="1">
        <v>81</v>
      </c>
    </row>
    <row r="83" spans="1:1">
      <c r="A83" s="1">
        <v>82</v>
      </c>
    </row>
    <row r="84" spans="1:1">
      <c r="A84" s="1">
        <v>83</v>
      </c>
    </row>
    <row r="85" spans="1:1">
      <c r="A85" s="1">
        <v>84</v>
      </c>
    </row>
    <row r="86" spans="1:1">
      <c r="A86" s="1">
        <v>85</v>
      </c>
    </row>
    <row r="87" spans="1:1">
      <c r="A87" s="1">
        <v>86</v>
      </c>
    </row>
    <row r="88" spans="1:1">
      <c r="A88" s="1">
        <v>87</v>
      </c>
    </row>
    <row r="89" spans="1:1">
      <c r="A89" s="1">
        <v>88</v>
      </c>
    </row>
    <row r="90" spans="1:1">
      <c r="A90" s="1">
        <v>89</v>
      </c>
    </row>
    <row r="91" spans="1:1">
      <c r="A91" s="1">
        <v>90</v>
      </c>
    </row>
    <row r="92" spans="1:1">
      <c r="A92" s="1">
        <v>91</v>
      </c>
    </row>
    <row r="93" spans="1:1">
      <c r="A93" s="1">
        <v>92</v>
      </c>
    </row>
    <row r="94" spans="1:1">
      <c r="A94" s="1">
        <v>93</v>
      </c>
    </row>
    <row r="95" spans="1:1">
      <c r="A95" s="1">
        <v>94</v>
      </c>
    </row>
    <row r="96" spans="1:1">
      <c r="A96" s="1">
        <v>95</v>
      </c>
    </row>
    <row r="97" spans="1:1">
      <c r="A97" s="1">
        <v>96</v>
      </c>
    </row>
    <row r="98" spans="1:1">
      <c r="A98" s="1">
        <v>97</v>
      </c>
    </row>
    <row r="99" spans="1:1">
      <c r="A99" s="1">
        <v>98</v>
      </c>
    </row>
    <row r="100" spans="1:1">
      <c r="A100" s="1">
        <v>99</v>
      </c>
    </row>
    <row r="101" spans="1:1">
      <c r="A101" s="1">
        <v>100</v>
      </c>
    </row>
  </sheetData>
  <pageMargins left="0.7" right="0.7" top="0.75" bottom="0.75" header="0.3" footer="0.3"/>
  <legacyDrawing r:id="rId1"/>
  <controls>
    <control shapeId="2050" r:id="rId2" name="CommandButton2"/>
    <control shapeId="2049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35"/>
  <sheetViews>
    <sheetView workbookViewId="0">
      <selection activeCell="D5" sqref="D5"/>
    </sheetView>
  </sheetViews>
  <sheetFormatPr defaultRowHeight="14.4"/>
  <cols>
    <col min="1" max="1" width="18.77734375" bestFit="1" customWidth="1"/>
  </cols>
  <sheetData>
    <row r="1" spans="1:2">
      <c r="A1" t="s">
        <v>2</v>
      </c>
      <c r="B1">
        <f>[1]!realtimeget(A1,"VALUE")</f>
        <v>8888888</v>
      </c>
    </row>
    <row r="2" spans="1:2">
      <c r="A2" t="s">
        <v>3</v>
      </c>
      <c r="B2">
        <f>[1]!realtimeget(A2,"VALUE")</f>
        <v>0.46454099999999998</v>
      </c>
    </row>
    <row r="3" spans="1:2">
      <c r="A3" t="s">
        <v>4</v>
      </c>
      <c r="B3">
        <f>[1]!realtimeget(A3,"VALUE")</f>
        <v>0.24846399999999999</v>
      </c>
    </row>
    <row r="4" spans="1:2">
      <c r="A4" t="s">
        <v>5</v>
      </c>
      <c r="B4">
        <f>[1]!realtimeget(A4,"VALUE")</f>
        <v>0.97313400000000005</v>
      </c>
    </row>
    <row r="5" spans="1:2">
      <c r="A5" t="s">
        <v>6</v>
      </c>
      <c r="B5">
        <f>[1]!realtimeget(A5,"VALUE")</f>
        <v>0.88216899999999998</v>
      </c>
    </row>
    <row r="6" spans="1:2">
      <c r="A6" t="s">
        <v>7</v>
      </c>
      <c r="B6">
        <f>[1]!realtimeget(A6,"VALUE")</f>
        <v>0.29117999999999999</v>
      </c>
    </row>
    <row r="7" spans="1:2">
      <c r="A7" t="s">
        <v>8</v>
      </c>
      <c r="B7">
        <f>[1]!realtimeget(A7,"VALUE")</f>
        <v>0.68114699999999995</v>
      </c>
    </row>
    <row r="8" spans="1:2">
      <c r="A8" t="s">
        <v>9</v>
      </c>
      <c r="B8">
        <f>[1]!realtimeget(A8,"VALUE")</f>
        <v>0.92016299999999995</v>
      </c>
    </row>
    <row r="9" spans="1:2">
      <c r="A9" t="s">
        <v>10</v>
      </c>
      <c r="B9">
        <f>[1]!realtimeget(A9,"VALUE")</f>
        <v>0.81975399999999998</v>
      </c>
    </row>
    <row r="10" spans="1:2">
      <c r="A10" t="s">
        <v>11</v>
      </c>
      <c r="B10">
        <f>[1]!realtimeget(A10,"VALUE")</f>
        <v>0.47581200000000001</v>
      </c>
    </row>
    <row r="11" spans="1:2">
      <c r="A11" t="s">
        <v>12</v>
      </c>
      <c r="B11">
        <f>[1]!realtimeget(A11,"VALUE")</f>
        <v>0.70133000000000001</v>
      </c>
    </row>
    <row r="12" spans="1:2">
      <c r="A12" t="s">
        <v>13</v>
      </c>
      <c r="B12">
        <f>[1]!realtimeget(A12,"VALUE")</f>
        <v>0.57401500000000005</v>
      </c>
    </row>
    <row r="13" spans="1:2">
      <c r="A13" t="s">
        <v>14</v>
      </c>
      <c r="B13">
        <f>[1]!realtimeget(A13,"VALUE")</f>
        <v>0.92089900000000002</v>
      </c>
    </row>
    <row r="14" spans="1:2">
      <c r="A14" t="s">
        <v>15</v>
      </c>
      <c r="B14">
        <f>[1]!realtimeget(A14,"VALUE")</f>
        <v>0.39213700000000001</v>
      </c>
    </row>
    <row r="15" spans="1:2">
      <c r="A15" t="s">
        <v>16</v>
      </c>
      <c r="B15">
        <f>[1]!realtimeget(A15,"VALUE")</f>
        <v>0.38090800000000002</v>
      </c>
    </row>
    <row r="16" spans="1:2">
      <c r="A16" t="s">
        <v>17</v>
      </c>
      <c r="B16">
        <f>[1]!realtimeget(A16,"VALUE")</f>
        <v>5.5691999999999998E-2</v>
      </c>
    </row>
    <row r="17" spans="1:2">
      <c r="A17" t="s">
        <v>18</v>
      </c>
      <c r="B17">
        <f>[1]!realtimeget(A17,"VALUE")</f>
        <v>0.63309899999999997</v>
      </c>
    </row>
    <row r="18" spans="1:2">
      <c r="A18" t="s">
        <v>19</v>
      </c>
      <c r="B18">
        <f>[1]!realtimeget(A18,"VALUE")</f>
        <v>0.40295199999999998</v>
      </c>
    </row>
    <row r="19" spans="1:2">
      <c r="A19" t="s">
        <v>20</v>
      </c>
      <c r="B19">
        <f>[1]!realtimeget(A19,"VALUE")</f>
        <v>0.28147100000000003</v>
      </c>
    </row>
    <row r="20" spans="1:2">
      <c r="A20" t="s">
        <v>21</v>
      </c>
      <c r="B20">
        <f>[1]!realtimeget(A20,"VALUE")</f>
        <v>3.5511000000000001E-2</v>
      </c>
    </row>
    <row r="21" spans="1:2">
      <c r="A21" t="s">
        <v>22</v>
      </c>
      <c r="B21">
        <f>[1]!realtimeget(A21,"VALUE")</f>
        <v>0.108392</v>
      </c>
    </row>
    <row r="22" spans="1:2">
      <c r="A22" t="s">
        <v>23</v>
      </c>
      <c r="B22">
        <f>[1]!realtimeget(A22,"VALUE")</f>
        <v>0.68873700000000004</v>
      </c>
    </row>
    <row r="23" spans="1:2">
      <c r="A23" t="s">
        <v>24</v>
      </c>
      <c r="B23">
        <f>[1]!realtimeget(A23,"VALUE")</f>
        <v>9.8693000000000003E-2</v>
      </c>
    </row>
    <row r="24" spans="1:2">
      <c r="A24" t="s">
        <v>25</v>
      </c>
      <c r="B24">
        <f>[1]!realtimeget(A24,"VALUE")</f>
        <v>0.453457</v>
      </c>
    </row>
    <row r="25" spans="1:2">
      <c r="A25" t="s">
        <v>26</v>
      </c>
      <c r="B25">
        <f>[1]!realtimeget(A25,"VALUE")</f>
        <v>0.61324599999999996</v>
      </c>
    </row>
    <row r="26" spans="1:2">
      <c r="A26" t="s">
        <v>27</v>
      </c>
      <c r="B26">
        <f>[1]!realtimeget(A26,"VALUE")</f>
        <v>0.62104800000000004</v>
      </c>
    </row>
    <row r="27" spans="1:2">
      <c r="A27" t="s">
        <v>28</v>
      </c>
      <c r="B27">
        <f>[1]!realtimeget(A27,"VALUE")</f>
        <v>0.72953000000000001</v>
      </c>
    </row>
    <row r="28" spans="1:2">
      <c r="A28" t="s">
        <v>29</v>
      </c>
      <c r="B28">
        <f>[1]!realtimeget(A28,"VALUE")</f>
        <v>6.9062999999999999E-2</v>
      </c>
    </row>
    <row r="29" spans="1:2">
      <c r="A29" t="s">
        <v>30</v>
      </c>
      <c r="B29">
        <f>[1]!realtimeget(A29,"VALUE")</f>
        <v>0.350354</v>
      </c>
    </row>
    <row r="30" spans="1:2">
      <c r="A30" t="s">
        <v>31</v>
      </c>
      <c r="B30">
        <f>[1]!realtimeget(A30,"VALUE")</f>
        <v>0.26813500000000001</v>
      </c>
    </row>
    <row r="31" spans="1:2">
      <c r="A31" t="s">
        <v>32</v>
      </c>
      <c r="B31">
        <f>[1]!realtimeget(A31,"VALUE")</f>
        <v>0.203402</v>
      </c>
    </row>
    <row r="32" spans="1:2">
      <c r="A32" t="s">
        <v>33</v>
      </c>
      <c r="B32">
        <f>[1]!realtimeget(A32,"VALUE")</f>
        <v>0.54270399999999996</v>
      </c>
    </row>
    <row r="33" spans="1:2">
      <c r="A33" t="s">
        <v>34</v>
      </c>
      <c r="B33">
        <f>[1]!realtimeget(A33,"VALUE")</f>
        <v>0.69608199999999998</v>
      </c>
    </row>
    <row r="34" spans="1:2">
      <c r="A34" t="s">
        <v>35</v>
      </c>
      <c r="B34">
        <f>[1]!realtimeget(A34,"VALUE")</f>
        <v>0.18809600000000001</v>
      </c>
    </row>
    <row r="35" spans="1:2">
      <c r="A35" t="s">
        <v>36</v>
      </c>
      <c r="B35">
        <f>[1]!realtimeget(A35,"VALUE")</f>
        <v>0.18365799999999999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2014-12-15T14:24:37Z</dcterms:created>
  <dcterms:modified xsi:type="dcterms:W3CDTF">2014-12-19T14:05:15Z</dcterms:modified>
</cp:coreProperties>
</file>