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5300" windowHeight="8736" activeTab="3"/>
  </bookViews>
  <sheets>
    <sheet name="Sheet1" sheetId="1" r:id="rId1"/>
    <sheet name="Sheet2" sheetId="2" r:id="rId2"/>
    <sheet name="Sheet3" sheetId="3" r:id="rId3"/>
    <sheet name="Sheet1 (2)" sheetId="4" r:id="rId4"/>
  </sheets>
  <functionGroups/>
  <externalReferences>
    <externalReference r:id="rId5"/>
  </externalReferences>
  <calcPr calcId="125725" calcOnSave="0"/>
</workbook>
</file>

<file path=xl/calcChain.xml><?xml version="1.0" encoding="utf-8"?>
<calcChain xmlns="http://schemas.openxmlformats.org/spreadsheetml/2006/main">
  <c r="I51" i="4"/>
  <c r="G51"/>
  <c r="F51"/>
  <c r="I50"/>
  <c r="G50"/>
  <c r="F50"/>
  <c r="I49"/>
  <c r="G49"/>
  <c r="F49"/>
  <c r="I48"/>
  <c r="G48"/>
  <c r="F48"/>
  <c r="I47"/>
  <c r="G47"/>
  <c r="F47"/>
  <c r="I46"/>
  <c r="G46"/>
  <c r="F46"/>
  <c r="I45"/>
  <c r="G45"/>
  <c r="F45"/>
  <c r="I44"/>
  <c r="G44"/>
  <c r="F44"/>
  <c r="I43"/>
  <c r="G43"/>
  <c r="F43"/>
  <c r="I42"/>
  <c r="G42"/>
  <c r="F42"/>
  <c r="M41"/>
  <c r="K41"/>
  <c r="J41"/>
  <c r="I41"/>
  <c r="G41"/>
  <c r="F41"/>
  <c r="M40"/>
  <c r="K40"/>
  <c r="J40"/>
  <c r="I40"/>
  <c r="G40"/>
  <c r="F40"/>
  <c r="M39"/>
  <c r="K39"/>
  <c r="J39"/>
  <c r="I39"/>
  <c r="G39"/>
  <c r="F39"/>
  <c r="M38"/>
  <c r="K38"/>
  <c r="J38"/>
  <c r="I38"/>
  <c r="G38"/>
  <c r="F38"/>
  <c r="M37"/>
  <c r="K37"/>
  <c r="J37"/>
  <c r="I37"/>
  <c r="G37"/>
  <c r="F37"/>
  <c r="M36"/>
  <c r="K36"/>
  <c r="J36"/>
  <c r="I36"/>
  <c r="G36"/>
  <c r="F36"/>
  <c r="E36"/>
  <c r="C36"/>
  <c r="B36"/>
  <c r="M35"/>
  <c r="K35"/>
  <c r="J35"/>
  <c r="I35"/>
  <c r="G35"/>
  <c r="F35"/>
  <c r="E35"/>
  <c r="C35"/>
  <c r="B35"/>
  <c r="M34"/>
  <c r="K34"/>
  <c r="J34"/>
  <c r="I34"/>
  <c r="G34"/>
  <c r="F34"/>
  <c r="E34"/>
  <c r="C34"/>
  <c r="B34"/>
  <c r="M33"/>
  <c r="K33"/>
  <c r="J33"/>
  <c r="I33"/>
  <c r="G33"/>
  <c r="F33"/>
  <c r="E33"/>
  <c r="C33"/>
  <c r="B33"/>
  <c r="M32"/>
  <c r="K32"/>
  <c r="J32"/>
  <c r="I32"/>
  <c r="G32"/>
  <c r="F32"/>
  <c r="E32"/>
  <c r="C32"/>
  <c r="B32"/>
  <c r="M31"/>
  <c r="K31"/>
  <c r="J31"/>
  <c r="I31"/>
  <c r="G31"/>
  <c r="F31"/>
  <c r="E31"/>
  <c r="C31"/>
  <c r="B31"/>
  <c r="M30"/>
  <c r="K30"/>
  <c r="J30"/>
  <c r="I30"/>
  <c r="G30"/>
  <c r="F30"/>
  <c r="E30"/>
  <c r="C30"/>
  <c r="B30"/>
  <c r="M29"/>
  <c r="K29"/>
  <c r="J29"/>
  <c r="I29"/>
  <c r="G29"/>
  <c r="F29"/>
  <c r="E29"/>
  <c r="C29"/>
  <c r="B29"/>
  <c r="M28"/>
  <c r="K28"/>
  <c r="J28"/>
  <c r="I28"/>
  <c r="G28"/>
  <c r="F28"/>
  <c r="E28"/>
  <c r="C28"/>
  <c r="B28"/>
  <c r="M27"/>
  <c r="K27"/>
  <c r="J27"/>
  <c r="I27"/>
  <c r="G27"/>
  <c r="F27"/>
  <c r="E27"/>
  <c r="C27"/>
  <c r="B27"/>
  <c r="M26"/>
  <c r="K26"/>
  <c r="J26"/>
  <c r="I26"/>
  <c r="G26"/>
  <c r="F26"/>
  <c r="E26"/>
  <c r="C26"/>
  <c r="B26"/>
  <c r="M25"/>
  <c r="K25"/>
  <c r="J25"/>
  <c r="I25"/>
  <c r="G25"/>
  <c r="F25"/>
  <c r="E25"/>
  <c r="C25"/>
  <c r="B25"/>
  <c r="M24"/>
  <c r="K24"/>
  <c r="J24"/>
  <c r="I24"/>
  <c r="G24"/>
  <c r="F24"/>
  <c r="E24"/>
  <c r="C24"/>
  <c r="B24"/>
  <c r="M23"/>
  <c r="K23"/>
  <c r="J23"/>
  <c r="I23"/>
  <c r="G23"/>
  <c r="F23"/>
  <c r="E23"/>
  <c r="C23"/>
  <c r="B23"/>
  <c r="M22"/>
  <c r="K22"/>
  <c r="J22"/>
  <c r="I22"/>
  <c r="G22"/>
  <c r="F22"/>
  <c r="E22"/>
  <c r="C22"/>
  <c r="B22"/>
  <c r="M21"/>
  <c r="K21"/>
  <c r="J21"/>
  <c r="I21"/>
  <c r="G21"/>
  <c r="F21"/>
  <c r="E21"/>
  <c r="C21"/>
  <c r="B21"/>
  <c r="M20"/>
  <c r="K20"/>
  <c r="J20"/>
  <c r="I20"/>
  <c r="G20"/>
  <c r="F20"/>
  <c r="E20"/>
  <c r="C20"/>
  <c r="B20"/>
  <c r="M19"/>
  <c r="K19"/>
  <c r="J19"/>
  <c r="I19"/>
  <c r="G19"/>
  <c r="F19"/>
  <c r="E19"/>
  <c r="C19"/>
  <c r="B19"/>
  <c r="M18"/>
  <c r="K18"/>
  <c r="J18"/>
  <c r="I18"/>
  <c r="G18"/>
  <c r="F18"/>
  <c r="E18"/>
  <c r="C18"/>
  <c r="B18"/>
  <c r="M17"/>
  <c r="K17"/>
  <c r="J17"/>
  <c r="I17"/>
  <c r="G17"/>
  <c r="F17"/>
  <c r="E17"/>
  <c r="C17"/>
  <c r="B17"/>
  <c r="M16"/>
  <c r="K16"/>
  <c r="J16"/>
  <c r="I16"/>
  <c r="G16"/>
  <c r="F16"/>
  <c r="E16"/>
  <c r="C16"/>
  <c r="B16"/>
  <c r="M15"/>
  <c r="K15"/>
  <c r="J15"/>
  <c r="I15"/>
  <c r="G15"/>
  <c r="F15"/>
  <c r="E15"/>
  <c r="C15"/>
  <c r="B15"/>
  <c r="M14"/>
  <c r="K14"/>
  <c r="J14"/>
  <c r="I14"/>
  <c r="G14"/>
  <c r="F14"/>
  <c r="E14"/>
  <c r="C14"/>
  <c r="B14"/>
  <c r="M13"/>
  <c r="K13"/>
  <c r="J13"/>
  <c r="I13"/>
  <c r="G13"/>
  <c r="F13"/>
  <c r="E13"/>
  <c r="C13"/>
  <c r="B13"/>
  <c r="M12"/>
  <c r="K12"/>
  <c r="J12"/>
  <c r="I12"/>
  <c r="G12"/>
  <c r="F12"/>
  <c r="E12"/>
  <c r="C12"/>
  <c r="B12"/>
  <c r="M11"/>
  <c r="K11"/>
  <c r="J11"/>
  <c r="I11"/>
  <c r="G11"/>
  <c r="F11"/>
  <c r="E11"/>
  <c r="C11"/>
  <c r="B11"/>
  <c r="M10"/>
  <c r="K10"/>
  <c r="J10"/>
  <c r="I10"/>
  <c r="G10"/>
  <c r="F10"/>
  <c r="E10"/>
  <c r="C10"/>
  <c r="B10"/>
  <c r="M9"/>
  <c r="K9"/>
  <c r="J9"/>
  <c r="I9"/>
  <c r="G9"/>
  <c r="F9"/>
  <c r="E9"/>
  <c r="C9"/>
  <c r="B9"/>
  <c r="M8"/>
  <c r="K8"/>
  <c r="J8"/>
  <c r="I8"/>
  <c r="G8"/>
  <c r="F8"/>
  <c r="E8"/>
  <c r="C8"/>
  <c r="B8"/>
  <c r="M7"/>
  <c r="K7"/>
  <c r="J7"/>
  <c r="I7"/>
  <c r="G7"/>
  <c r="F7"/>
  <c r="E7"/>
  <c r="C7"/>
  <c r="B7"/>
  <c r="M6"/>
  <c r="K6"/>
  <c r="J6"/>
  <c r="I6"/>
  <c r="G6"/>
  <c r="F6"/>
  <c r="E6"/>
  <c r="C6"/>
  <c r="B6"/>
  <c r="M5"/>
  <c r="K5"/>
  <c r="J5"/>
  <c r="I5"/>
  <c r="G5"/>
  <c r="F5"/>
  <c r="E5"/>
  <c r="C5"/>
  <c r="B5"/>
  <c r="M4"/>
  <c r="K4"/>
  <c r="J4"/>
  <c r="I4"/>
  <c r="G4"/>
  <c r="F4"/>
  <c r="E4"/>
  <c r="C4"/>
  <c r="B4"/>
  <c r="M3"/>
  <c r="K3"/>
  <c r="J3"/>
  <c r="I3"/>
  <c r="G3"/>
  <c r="F3"/>
  <c r="E3"/>
  <c r="C3"/>
  <c r="B3"/>
  <c r="M2"/>
  <c r="K2"/>
  <c r="J2"/>
  <c r="I2"/>
  <c r="G2"/>
  <c r="F2"/>
  <c r="E2"/>
  <c r="C2"/>
  <c r="B2"/>
  <c r="L3" i="2"/>
  <c r="M3" s="1"/>
  <c r="L4"/>
  <c r="M4" s="1"/>
  <c r="L5"/>
  <c r="M5" s="1"/>
  <c r="L6"/>
  <c r="M6" s="1"/>
  <c r="L7"/>
  <c r="M7" s="1"/>
  <c r="L8"/>
  <c r="M8" s="1"/>
  <c r="L9"/>
  <c r="M9" s="1"/>
  <c r="L10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2"/>
  <c r="M2" s="1"/>
  <c r="H3"/>
  <c r="I3" s="1"/>
  <c r="H4"/>
  <c r="I4" s="1"/>
  <c r="H5"/>
  <c r="I5" s="1"/>
  <c r="H6"/>
  <c r="I6" s="1"/>
  <c r="H7"/>
  <c r="I7" s="1"/>
  <c r="H8"/>
  <c r="I8" s="1"/>
  <c r="H9"/>
  <c r="I9" s="1"/>
  <c r="H10"/>
  <c r="I10" s="1"/>
  <c r="H11"/>
  <c r="I11" s="1"/>
  <c r="H12"/>
  <c r="I12" s="1"/>
  <c r="H13"/>
  <c r="I13" s="1"/>
  <c r="H14"/>
  <c r="I14" s="1"/>
  <c r="H15"/>
  <c r="I15" s="1"/>
  <c r="H16"/>
  <c r="I16" s="1"/>
  <c r="H17"/>
  <c r="I17" s="1"/>
  <c r="H18"/>
  <c r="I18" s="1"/>
  <c r="H19"/>
  <c r="I19" s="1"/>
  <c r="H20"/>
  <c r="I20" s="1"/>
  <c r="H21"/>
  <c r="I21" s="1"/>
  <c r="H22"/>
  <c r="I22" s="1"/>
  <c r="H23"/>
  <c r="I23" s="1"/>
  <c r="H24"/>
  <c r="I24" s="1"/>
  <c r="H25"/>
  <c r="I25" s="1"/>
  <c r="H26"/>
  <c r="I26" s="1"/>
  <c r="H27"/>
  <c r="I27" s="1"/>
  <c r="H28"/>
  <c r="I28" s="1"/>
  <c r="H29"/>
  <c r="I29" s="1"/>
  <c r="H30"/>
  <c r="I30" s="1"/>
  <c r="H31"/>
  <c r="I31" s="1"/>
  <c r="H32"/>
  <c r="I32" s="1"/>
  <c r="H33"/>
  <c r="I33" s="1"/>
  <c r="H34"/>
  <c r="I34" s="1"/>
  <c r="H35"/>
  <c r="I35" s="1"/>
  <c r="H36"/>
  <c r="I36" s="1"/>
  <c r="H37"/>
  <c r="I37" s="1"/>
  <c r="H38"/>
  <c r="I38" s="1"/>
  <c r="H39"/>
  <c r="I39" s="1"/>
  <c r="H40"/>
  <c r="I40" s="1"/>
  <c r="H41"/>
  <c r="I41" s="1"/>
  <c r="H42"/>
  <c r="I42" s="1"/>
  <c r="H43"/>
  <c r="I43" s="1"/>
  <c r="H44"/>
  <c r="I44" s="1"/>
  <c r="H45"/>
  <c r="I45" s="1"/>
  <c r="H46"/>
  <c r="I46" s="1"/>
  <c r="H47"/>
  <c r="I47" s="1"/>
  <c r="H48"/>
  <c r="I48" s="1"/>
  <c r="H49"/>
  <c r="I49" s="1"/>
  <c r="H50"/>
  <c r="I50" s="1"/>
  <c r="H51"/>
  <c r="I51" s="1"/>
  <c r="H2"/>
  <c r="I2" s="1"/>
  <c r="D3"/>
  <c r="E3" s="1"/>
  <c r="D4"/>
  <c r="E4" s="1"/>
  <c r="D5"/>
  <c r="E5" s="1"/>
  <c r="D6"/>
  <c r="E6" s="1"/>
  <c r="D7"/>
  <c r="E7" s="1"/>
  <c r="D8"/>
  <c r="E8" s="1"/>
  <c r="D9"/>
  <c r="E9" s="1"/>
  <c r="D10"/>
  <c r="E10" s="1"/>
  <c r="D11"/>
  <c r="E11" s="1"/>
  <c r="D12"/>
  <c r="E12" s="1"/>
  <c r="D13"/>
  <c r="E13" s="1"/>
  <c r="D14"/>
  <c r="E14" s="1"/>
  <c r="D15"/>
  <c r="E15" s="1"/>
  <c r="D16"/>
  <c r="E16" s="1"/>
  <c r="D17"/>
  <c r="E17" s="1"/>
  <c r="D18"/>
  <c r="E18" s="1"/>
  <c r="D19"/>
  <c r="E19" s="1"/>
  <c r="D20"/>
  <c r="E20" s="1"/>
  <c r="D21"/>
  <c r="E21" s="1"/>
  <c r="D22"/>
  <c r="E22" s="1"/>
  <c r="D23"/>
  <c r="E23" s="1"/>
  <c r="D24"/>
  <c r="E24" s="1"/>
  <c r="D25"/>
  <c r="E25" s="1"/>
  <c r="D26"/>
  <c r="E26" s="1"/>
  <c r="D27"/>
  <c r="E27" s="1"/>
  <c r="D28"/>
  <c r="E28" s="1"/>
  <c r="D29"/>
  <c r="E29" s="1"/>
  <c r="D30"/>
  <c r="E30" s="1"/>
  <c r="D31"/>
  <c r="E31" s="1"/>
  <c r="D32"/>
  <c r="E32" s="1"/>
  <c r="D33"/>
  <c r="E33" s="1"/>
  <c r="D34"/>
  <c r="E34" s="1"/>
  <c r="D35"/>
  <c r="E35" s="1"/>
  <c r="D36"/>
  <c r="E36" s="1"/>
  <c r="D2"/>
  <c r="E2" s="1"/>
  <c r="M3" i="1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2"/>
  <c r="F37"/>
  <c r="F38"/>
  <c r="F39"/>
  <c r="F40"/>
  <c r="F41"/>
  <c r="F42"/>
  <c r="F43"/>
  <c r="F44"/>
  <c r="F45"/>
  <c r="F46"/>
  <c r="F47"/>
  <c r="F48"/>
  <c r="F49"/>
  <c r="F50"/>
  <c r="F51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2"/>
  <c r="G34" i="2"/>
  <c r="G19"/>
  <c r="G49" i="1"/>
  <c r="G10"/>
  <c r="G28"/>
  <c r="G42" i="2"/>
  <c r="C27"/>
  <c r="G37" i="1"/>
  <c r="C13" i="2"/>
  <c r="G28"/>
  <c r="K2" i="1"/>
  <c r="G15"/>
  <c r="K30"/>
  <c r="G48" i="2"/>
  <c r="K15" i="1"/>
  <c r="G38" i="2"/>
  <c r="G17" i="1"/>
  <c r="G45"/>
  <c r="C36" i="2"/>
  <c r="C9" i="1"/>
  <c r="G29" i="2"/>
  <c r="K35" i="1"/>
  <c r="G42"/>
  <c r="G23"/>
  <c r="K41"/>
  <c r="C32"/>
  <c r="C7"/>
  <c r="C30"/>
  <c r="K36"/>
  <c r="G25" i="2"/>
  <c r="G37"/>
  <c r="C19" i="1"/>
  <c r="G21"/>
  <c r="G24"/>
  <c r="K27"/>
  <c r="G20" i="2"/>
  <c r="G14" i="1"/>
  <c r="G5"/>
  <c r="C3"/>
  <c r="G12"/>
  <c r="G32"/>
  <c r="G32" i="2"/>
  <c r="G6"/>
  <c r="G26" i="1"/>
  <c r="C20" i="2"/>
  <c r="G2" i="1"/>
  <c r="C15" i="2"/>
  <c r="G31" i="1"/>
  <c r="C35" i="2"/>
  <c r="C33"/>
  <c r="K33" i="1"/>
  <c r="C17"/>
  <c r="K34"/>
  <c r="K39"/>
  <c r="G4"/>
  <c r="K28"/>
  <c r="G39" i="2"/>
  <c r="G13" i="1"/>
  <c r="G41" i="2"/>
  <c r="G35" i="1"/>
  <c r="G41"/>
  <c r="C13"/>
  <c r="C26" i="2"/>
  <c r="C8"/>
  <c r="C4" i="1"/>
  <c r="C22"/>
  <c r="G48"/>
  <c r="C2"/>
  <c r="C22" i="2"/>
  <c r="C10" i="1"/>
  <c r="C31"/>
  <c r="G47"/>
  <c r="G9" i="2"/>
  <c r="K11" i="1"/>
  <c r="G13" i="2"/>
  <c r="C12" i="1"/>
  <c r="K17"/>
  <c r="G12" i="2"/>
  <c r="C24" i="1"/>
  <c r="C21"/>
  <c r="G4" i="2"/>
  <c r="G19" i="1"/>
  <c r="G17" i="2"/>
  <c r="C9"/>
  <c r="G46" i="1"/>
  <c r="G34"/>
  <c r="G5" i="2"/>
  <c r="C14"/>
  <c r="C29" i="1"/>
  <c r="G11" i="2"/>
  <c r="K24" i="1"/>
  <c r="G44"/>
  <c r="K21"/>
  <c r="C17" i="2"/>
  <c r="K14" i="1"/>
  <c r="C8"/>
  <c r="G44" i="2"/>
  <c r="C25"/>
  <c r="K22" i="1"/>
  <c r="K6"/>
  <c r="G11"/>
  <c r="K31"/>
  <c r="C18"/>
  <c r="C21" i="2"/>
  <c r="G33"/>
  <c r="G51" i="1"/>
  <c r="G18"/>
  <c r="C11"/>
  <c r="G36"/>
  <c r="C34" i="2"/>
  <c r="G30"/>
  <c r="K5" i="1"/>
  <c r="C36"/>
  <c r="C31" i="2"/>
  <c r="G35"/>
  <c r="G30" i="1"/>
  <c r="G9"/>
  <c r="G47" i="2"/>
  <c r="G2"/>
  <c r="K7" i="1"/>
  <c r="C33"/>
  <c r="G29"/>
  <c r="G26" i="2"/>
  <c r="C24"/>
  <c r="C10"/>
  <c r="G16"/>
  <c r="K40" i="1"/>
  <c r="C28" i="2"/>
  <c r="K23" i="1"/>
  <c r="G8"/>
  <c r="K38"/>
  <c r="K26"/>
  <c r="G46" i="2"/>
  <c r="C14" i="1"/>
  <c r="G50" i="2"/>
  <c r="K32" i="1"/>
  <c r="C4" i="2"/>
  <c r="K16" i="1"/>
  <c r="C35"/>
  <c r="G21" i="2"/>
  <c r="G33" i="1"/>
  <c r="C19" i="2"/>
  <c r="G36"/>
  <c r="G45"/>
  <c r="K13" i="1"/>
  <c r="K29"/>
  <c r="G27" i="2"/>
  <c r="C26" i="1"/>
  <c r="G6"/>
  <c r="K19"/>
  <c r="C23" i="2"/>
  <c r="K10" i="1"/>
  <c r="G7"/>
  <c r="C16"/>
  <c r="G43"/>
  <c r="G27"/>
  <c r="C28"/>
  <c r="K20"/>
  <c r="G40"/>
  <c r="G23" i="2"/>
  <c r="K8" i="1"/>
  <c r="C16" i="2"/>
  <c r="G39" i="1"/>
  <c r="K4"/>
  <c r="C20"/>
  <c r="C25"/>
  <c r="G22" i="2"/>
  <c r="G43"/>
  <c r="C3"/>
  <c r="G25" i="1"/>
  <c r="C5" i="2"/>
  <c r="G40"/>
  <c r="G3"/>
  <c r="C18"/>
  <c r="C11"/>
  <c r="G49"/>
  <c r="C6" i="1"/>
  <c r="G24" i="2"/>
  <c r="G14"/>
  <c r="K3" i="1"/>
  <c r="C6" i="2"/>
  <c r="C34" i="1"/>
  <c r="C2" i="2"/>
  <c r="C30"/>
  <c r="G22" i="1"/>
  <c r="G7" i="2"/>
  <c r="G20" i="1"/>
  <c r="C23"/>
  <c r="C7" i="2"/>
  <c r="G8"/>
  <c r="C29"/>
  <c r="K37" i="1"/>
  <c r="G3"/>
  <c r="G15" i="2"/>
  <c r="G31"/>
  <c r="K12" i="1"/>
  <c r="C12" i="2"/>
  <c r="K9" i="1"/>
  <c r="C5"/>
  <c r="C15"/>
  <c r="G18" i="2"/>
  <c r="G50" i="1"/>
  <c r="C27"/>
  <c r="G38"/>
  <c r="G51" i="2"/>
  <c r="C32"/>
  <c r="G16" i="1"/>
  <c r="G10" i="2"/>
  <c r="K25" i="1"/>
  <c r="K18"/>
</calcChain>
</file>

<file path=xl/sharedStrings.xml><?xml version="1.0" encoding="utf-8"?>
<sst xmlns="http://schemas.openxmlformats.org/spreadsheetml/2006/main" count="183" uniqueCount="156">
  <si>
    <t>VALUE</t>
  </si>
  <si>
    <t>EURDFSTD1=.EONIA</t>
  </si>
  <si>
    <t>15/12/2014 17:17:28: ok</t>
  </si>
  <si>
    <t>EURDF6M1=.EONIA</t>
  </si>
  <si>
    <t>15/12/2014 17:17:39: ok</t>
  </si>
  <si>
    <t>EURDF3M1=.EONIA</t>
  </si>
  <si>
    <t>15/12/2014 17:16:58: ok</t>
  </si>
  <si>
    <t>EURDFSTD2=.EONIA</t>
  </si>
  <si>
    <t>EURDF6M2=.EONIA</t>
  </si>
  <si>
    <t>15/12/2014 17:17:19: ok</t>
  </si>
  <si>
    <t>EURDF3M2=.EONIA</t>
  </si>
  <si>
    <t>15/12/2014 17:17:24: ok</t>
  </si>
  <si>
    <t>EURDFSTD3=.EONIA</t>
  </si>
  <si>
    <t>EURDF6M3=.EONIA</t>
  </si>
  <si>
    <t>EURDF3M3=.EONIA</t>
  </si>
  <si>
    <t>EURDFSTD4=.EONIA</t>
  </si>
  <si>
    <t>15/12/2014 17:17:35: ok</t>
  </si>
  <si>
    <t>EURDF6M4=.EONIA</t>
  </si>
  <si>
    <t>15/12/2014 17:17:33: ok</t>
  </si>
  <si>
    <t>EURDF3M4=.EONIA</t>
  </si>
  <si>
    <t>15/12/2014 17:17:36: ok</t>
  </si>
  <si>
    <t>EURDFSTD5=.EONIA</t>
  </si>
  <si>
    <t>15/12/2014 17:17:37: ok</t>
  </si>
  <si>
    <t>EURDF6M5=.EONIA</t>
  </si>
  <si>
    <t>15/12/2014 17:17:30: ok</t>
  </si>
  <si>
    <t>EURDF3M5=.EONIA</t>
  </si>
  <si>
    <t>15/12/2014 17:17:34: ok</t>
  </si>
  <si>
    <t>EURDFSTD6=.EONIA</t>
  </si>
  <si>
    <t>EURDF6M6=.EONIA</t>
  </si>
  <si>
    <t>EURDF3M6=.EONIA</t>
  </si>
  <si>
    <t>EURDFSTD7=.EONIA</t>
  </si>
  <si>
    <t>15/12/2014 17:17:29: ok</t>
  </si>
  <si>
    <t>EURDF6M7=.EONIA</t>
  </si>
  <si>
    <t>15/12/2014 17:17:40: ok</t>
  </si>
  <si>
    <t>EURDF3M7=.EONIA</t>
  </si>
  <si>
    <t>15/12/2014 17:16:59: ok</t>
  </si>
  <si>
    <t>EURDFSTD8=.EONIA</t>
  </si>
  <si>
    <t>15/12/2014 17:17:17: ok</t>
  </si>
  <si>
    <t>EURDF6M8=.EONIA</t>
  </si>
  <si>
    <t>EURDF3M8=.EONIA</t>
  </si>
  <si>
    <t>15/12/2014 17:16:36: ok</t>
  </si>
  <si>
    <t>EURDFSTD9=.EONIA</t>
  </si>
  <si>
    <t>15/12/2014 17:17:20: ok</t>
  </si>
  <si>
    <t>EURDF6M9=.EONIA</t>
  </si>
  <si>
    <t>EURDF3M9=.EONIA</t>
  </si>
  <si>
    <t>15/12/2014 17:17:23: ok</t>
  </si>
  <si>
    <t>EURDFSTD10=.EONIA</t>
  </si>
  <si>
    <t>EURDF6M10=.EONIA</t>
  </si>
  <si>
    <t>EURDF3M10=.EONIA</t>
  </si>
  <si>
    <t>EURDFSTD11=.EONIA</t>
  </si>
  <si>
    <t>EURDF6M11=.EONIA</t>
  </si>
  <si>
    <t>EURDF3M11=.EONIA</t>
  </si>
  <si>
    <t>EURDFSTD12=.EONIA</t>
  </si>
  <si>
    <t>EURDF6M12=.EONIA</t>
  </si>
  <si>
    <t>15/12/2014 17:16:45: ok</t>
  </si>
  <si>
    <t>EURDF3M12=.EONIA</t>
  </si>
  <si>
    <t>15/12/2014 17:17:38: ok</t>
  </si>
  <si>
    <t>EURDFSTD13=.EONIA</t>
  </si>
  <si>
    <t>EURDF6M13=.EONIA</t>
  </si>
  <si>
    <t>EURDF3M13=.EONIA</t>
  </si>
  <si>
    <t>EURDFSTD14=.EONIA</t>
  </si>
  <si>
    <t>EURDF6M14=.EONIA</t>
  </si>
  <si>
    <t>EURDF3M14=.EONIA</t>
  </si>
  <si>
    <t>EURDFSTD15=.EONIA</t>
  </si>
  <si>
    <t>EURDF6M15=.EONIA</t>
  </si>
  <si>
    <t>EURDF3M15=.EONIA</t>
  </si>
  <si>
    <t>EURDFSTD16=.EONIA</t>
  </si>
  <si>
    <t>EURDF6M16=.EONIA</t>
  </si>
  <si>
    <t>EURDF3M16=.EONIA</t>
  </si>
  <si>
    <t>15/12/2014 17:17:31: ok</t>
  </si>
  <si>
    <t>EURDFSTD17=.EONIA</t>
  </si>
  <si>
    <t>EURDF6M17=.EONIA</t>
  </si>
  <si>
    <t>EURDF3M17=.EONIA</t>
  </si>
  <si>
    <t>15/12/2014 17:16:53: ok</t>
  </si>
  <si>
    <t>EURDFSTD18=.EONIA</t>
  </si>
  <si>
    <t>15/12/2014 17:17:15: ok</t>
  </si>
  <si>
    <t>EURDF6M18=.EONIA</t>
  </si>
  <si>
    <t>EURDF3M18=.EONIA</t>
  </si>
  <si>
    <t>EURDFSTD19=.EONIA</t>
  </si>
  <si>
    <t>EURDF6M19=.EONIA</t>
  </si>
  <si>
    <t>EURDF3M19=.EONIA</t>
  </si>
  <si>
    <t>EURDFSTD20=.EONIA</t>
  </si>
  <si>
    <t>EURDF6M20=.EONIA</t>
  </si>
  <si>
    <t>EURDF3M20=.EONIA</t>
  </si>
  <si>
    <t>EURDFSTD21=.EONIA</t>
  </si>
  <si>
    <t>EURDF6M21=.EONIA</t>
  </si>
  <si>
    <t>EURDF3M21=.EONIA</t>
  </si>
  <si>
    <t>15/12/2014 17:17:13: ok</t>
  </si>
  <si>
    <t>EURDFSTD22=.EONIA</t>
  </si>
  <si>
    <t>EURDF6M22=.EONIA</t>
  </si>
  <si>
    <t>EURDF3M22=.EONIA</t>
  </si>
  <si>
    <t>15/12/2014 17:16:12: ok</t>
  </si>
  <si>
    <t>EURDFSTD23=.EONIA</t>
  </si>
  <si>
    <t>EURDF6M23=.EONIA</t>
  </si>
  <si>
    <t>EURDF3M23=.EONIA</t>
  </si>
  <si>
    <t>EURDFSTD24=.EONIA</t>
  </si>
  <si>
    <t>EURDF6M24=.EONIA</t>
  </si>
  <si>
    <t>EURDF3M24=.EONIA</t>
  </si>
  <si>
    <t>EURDFSTD25=.EONIA</t>
  </si>
  <si>
    <t>EURDF6M25=.EONIA</t>
  </si>
  <si>
    <t>EURDF3M25=.EONIA</t>
  </si>
  <si>
    <t>EURDFSTD26=.EONIA</t>
  </si>
  <si>
    <t>EURDF6M26=.EONIA</t>
  </si>
  <si>
    <t>EURDF3M26=.EONIA</t>
  </si>
  <si>
    <t>EURDFSTD27=.EONIA</t>
  </si>
  <si>
    <t>EURDF6M27=.EONIA</t>
  </si>
  <si>
    <t>EURDF3M27=.EONIA</t>
  </si>
  <si>
    <t>15/12/2014 17:17:21: ok</t>
  </si>
  <si>
    <t>EURDFSTD28=.EONIA</t>
  </si>
  <si>
    <t>EURDF6M28=.EONIA</t>
  </si>
  <si>
    <t>EURDF3M28=.EONIA</t>
  </si>
  <si>
    <t>EURDFSTD29=.EONIA</t>
  </si>
  <si>
    <t>EURDF6M29=.EONIA</t>
  </si>
  <si>
    <t>EURDF3M29=.EONIA</t>
  </si>
  <si>
    <t>EURDFSTD30=.EONIA</t>
  </si>
  <si>
    <t>EURDF6M30=.EONIA</t>
  </si>
  <si>
    <t>EURDF3M30=.EONIA</t>
  </si>
  <si>
    <t>EURDFSTD31=.EONIA</t>
  </si>
  <si>
    <t>EURDF6M31=.EONIA</t>
  </si>
  <si>
    <t>EURDF3M31=.EONIA</t>
  </si>
  <si>
    <t>EURDFSTD32=.EONIA</t>
  </si>
  <si>
    <t>EURDF6M32=.EONIA</t>
  </si>
  <si>
    <t>EURDF3M32=.EONIA</t>
  </si>
  <si>
    <t>EURDFSTD33=.EONIA</t>
  </si>
  <si>
    <t>EURDF6M33=.EONIA</t>
  </si>
  <si>
    <t>EURDF3M33=.EONIA</t>
  </si>
  <si>
    <t>15/12/2014 17:17:05: ok</t>
  </si>
  <si>
    <t>EURDFSTD34=.EONIA</t>
  </si>
  <si>
    <t>EURDF6M34=.EONIA</t>
  </si>
  <si>
    <t>EURDF3M34=.EONIA</t>
  </si>
  <si>
    <t>EURDFSTD35=.EONIA</t>
  </si>
  <si>
    <t>EURDF6M35=.EONIA</t>
  </si>
  <si>
    <t>EURDF3M35=.EONIA</t>
  </si>
  <si>
    <t>EURDF6M36=.EONIA</t>
  </si>
  <si>
    <t>EURDF3M36=.EONIA</t>
  </si>
  <si>
    <t>15/12/2014 17:17:16: ok</t>
  </si>
  <si>
    <t>EURDF6M37=.EONIA</t>
  </si>
  <si>
    <t>EURDF3M37=.EONIA</t>
  </si>
  <si>
    <t>EURDF6M38=.EONIA</t>
  </si>
  <si>
    <t>EURDF3M38=.EONIA</t>
  </si>
  <si>
    <t>15/12/2014 17:17:26: ok</t>
  </si>
  <si>
    <t>EURDF6M39=.EONIA</t>
  </si>
  <si>
    <t>EURDF3M39=.EONIA</t>
  </si>
  <si>
    <t>EURDF6M40=.EONIA</t>
  </si>
  <si>
    <t>EURDF3M40=.EONIA</t>
  </si>
  <si>
    <t>15/12/2014 17:06:27: ok</t>
  </si>
  <si>
    <t>EURDF6M41=.EONIA</t>
  </si>
  <si>
    <t>EURDF6M42=.EONIA</t>
  </si>
  <si>
    <t>EURDF6M43=.EONIA</t>
  </si>
  <si>
    <t>EURDF6M44=.EONIA</t>
  </si>
  <si>
    <t>EURDF6M45=.EONIA</t>
  </si>
  <si>
    <t>EURDF6M46=.EONIA</t>
  </si>
  <si>
    <t>EURDF6M47=.EONIA</t>
  </si>
  <si>
    <t>EURDF6M48=.EONIA</t>
  </si>
  <si>
    <t>EURDF6M49=.EONIA</t>
  </si>
  <si>
    <t>EURDF6M50=.EONIA</t>
  </si>
</sst>
</file>

<file path=xl/styles.xml><?xml version="1.0" encoding="utf-8"?>
<styleSheet xmlns="http://schemas.openxmlformats.org/spreadsheetml/2006/main">
  <numFmts count="1">
    <numFmt numFmtId="164" formatCode="0.000000"/>
  </numFmts>
  <fonts count="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3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FeedCodes/realtimequotes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3"/>
    </sheetNames>
    <definedNames>
      <definedName name="updatequot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01"/>
  <sheetViews>
    <sheetView workbookViewId="0">
      <selection activeCell="C2" sqref="C2"/>
    </sheetView>
  </sheetViews>
  <sheetFormatPr defaultRowHeight="14.4"/>
  <cols>
    <col min="2" max="2" width="8.77734375" customWidth="1"/>
    <col min="3" max="3" width="9.109375" customWidth="1"/>
    <col min="4" max="4" width="8.88671875" style="2"/>
    <col min="6" max="6" width="7.21875" customWidth="1"/>
    <col min="7" max="7" width="8.33203125" customWidth="1"/>
    <col min="8" max="8" width="8.88671875" style="5"/>
    <col min="10" max="10" width="9.44140625" customWidth="1"/>
    <col min="11" max="11" width="10.44140625" customWidth="1"/>
    <col min="12" max="12" width="8.88671875" style="5"/>
  </cols>
  <sheetData>
    <row r="1" spans="1:13">
      <c r="D1" s="2" t="s">
        <v>0</v>
      </c>
      <c r="E1" t="s">
        <v>0</v>
      </c>
      <c r="H1" s="5" t="s">
        <v>0</v>
      </c>
      <c r="I1" t="s">
        <v>0</v>
      </c>
      <c r="L1" s="5" t="s">
        <v>0</v>
      </c>
      <c r="M1" t="s">
        <v>0</v>
      </c>
    </row>
    <row r="2" spans="1:13">
      <c r="A2">
        <v>1</v>
      </c>
      <c r="B2" t="str">
        <f>CONCATENATE("EURDFSTD",A2,"=.EONIA")</f>
        <v>EURDFSTD1=.EONIA</v>
      </c>
      <c r="C2">
        <f>[1]!updatequotes(B2,$D$1:$E$1,D2:E2)</f>
        <v>0</v>
      </c>
      <c r="D2" s="3">
        <v>0.231655</v>
      </c>
      <c r="E2" s="1">
        <f>D2</f>
        <v>0.231655</v>
      </c>
      <c r="F2" t="str">
        <f>CONCATENATE("EURDF6M",A2,"=.EONIA")</f>
        <v>EURDF6M1=.EONIA</v>
      </c>
      <c r="G2">
        <f>[1]!updatequotes(F2,$H$1:$I$1,H2:I2)</f>
        <v>0</v>
      </c>
      <c r="H2" s="7">
        <v>0.54062600000000005</v>
      </c>
      <c r="I2">
        <f>H2</f>
        <v>0.54062600000000005</v>
      </c>
      <c r="J2" t="str">
        <f>CONCATENATE("EURDF3M",A2,"=.EONIA")</f>
        <v>EURDF3M1=.EONIA</v>
      </c>
      <c r="K2">
        <f>[1]!updatequotes(J2,$L$1:$M$1,L2:M2)</f>
        <v>0</v>
      </c>
      <c r="L2" s="7">
        <v>0.144674</v>
      </c>
      <c r="M2">
        <f>L2</f>
        <v>0.144674</v>
      </c>
    </row>
    <row r="3" spans="1:13">
      <c r="A3">
        <v>2</v>
      </c>
      <c r="B3" t="str">
        <f t="shared" ref="B3:B36" si="0">CONCATENATE("EURDFSTD",A3,"=.EONIA")</f>
        <v>EURDFSTD2=.EONIA</v>
      </c>
      <c r="C3">
        <f>[1]!updatequotes(B3,$D$1:$E$1,D3:E3)</f>
        <v>0</v>
      </c>
      <c r="D3" s="3">
        <v>0.89340900000000001</v>
      </c>
      <c r="E3" s="1">
        <f t="shared" ref="E3:E36" si="1">D3</f>
        <v>0.89340900000000001</v>
      </c>
      <c r="F3" t="str">
        <f t="shared" ref="F3:F51" si="2">CONCATENATE("EURDF6M",A3,"=.EONIA")</f>
        <v>EURDF6M2=.EONIA</v>
      </c>
      <c r="G3">
        <f>[1]!updatequotes(F3,$H$1:$I$1,H3:I3)</f>
        <v>0</v>
      </c>
      <c r="H3" s="7">
        <v>0.75700199999999995</v>
      </c>
      <c r="I3">
        <f t="shared" ref="I3:I51" si="3">H3</f>
        <v>0.75700199999999995</v>
      </c>
      <c r="J3" t="str">
        <f t="shared" ref="J3:J41" si="4">CONCATENATE("EURDF3M",A3,"=.EONIA")</f>
        <v>EURDF3M2=.EONIA</v>
      </c>
      <c r="K3">
        <f>[1]!updatequotes(J3,$L$1:$M$1,L3:M3)</f>
        <v>0</v>
      </c>
      <c r="L3" s="7">
        <v>0.25690800000000003</v>
      </c>
      <c r="M3">
        <f t="shared" ref="M3:M41" si="5">L3</f>
        <v>0.25690800000000003</v>
      </c>
    </row>
    <row r="4" spans="1:13">
      <c r="A4">
        <v>3</v>
      </c>
      <c r="B4" t="str">
        <f t="shared" si="0"/>
        <v>EURDFSTD3=.EONIA</v>
      </c>
      <c r="C4">
        <f>[1]!updatequotes(B4,$D$1:$E$1,D4:E4)</f>
        <v>0</v>
      </c>
      <c r="D4" s="3">
        <v>0.63876699999999997</v>
      </c>
      <c r="E4" s="1">
        <f t="shared" si="1"/>
        <v>0.63876699999999997</v>
      </c>
      <c r="F4" t="str">
        <f t="shared" si="2"/>
        <v>EURDF6M3=.EONIA</v>
      </c>
      <c r="G4">
        <f>[1]!updatequotes(F4,$H$1:$I$1,H4:I4)</f>
        <v>0</v>
      </c>
      <c r="H4" s="7">
        <v>0.62922699999999998</v>
      </c>
      <c r="I4">
        <f t="shared" si="3"/>
        <v>0.62922699999999998</v>
      </c>
      <c r="J4" t="str">
        <f t="shared" si="4"/>
        <v>EURDF3M3=.EONIA</v>
      </c>
      <c r="K4">
        <f>[1]!updatequotes(J4,$L$1:$M$1,L4:M4)</f>
        <v>0</v>
      </c>
      <c r="L4" s="7">
        <v>0.32394099999999998</v>
      </c>
      <c r="M4">
        <f t="shared" si="5"/>
        <v>0.32394099999999998</v>
      </c>
    </row>
    <row r="5" spans="1:13">
      <c r="A5">
        <v>4</v>
      </c>
      <c r="B5" t="str">
        <f t="shared" si="0"/>
        <v>EURDFSTD4=.EONIA</v>
      </c>
      <c r="C5">
        <f>[1]!updatequotes(B5,$D$1:$E$1,D5:E5)</f>
        <v>0</v>
      </c>
      <c r="D5" s="3">
        <v>0.87885199999999997</v>
      </c>
      <c r="E5" s="1">
        <f t="shared" si="1"/>
        <v>0.87885199999999997</v>
      </c>
      <c r="F5" t="str">
        <f t="shared" si="2"/>
        <v>EURDF6M4=.EONIA</v>
      </c>
      <c r="G5">
        <f>[1]!updatequotes(F5,$H$1:$I$1,H5:I5)</f>
        <v>0</v>
      </c>
      <c r="H5" s="7">
        <v>0.49536400000000003</v>
      </c>
      <c r="I5">
        <f t="shared" si="3"/>
        <v>0.49536400000000003</v>
      </c>
      <c r="J5" t="str">
        <f t="shared" si="4"/>
        <v>EURDF3M4=.EONIA</v>
      </c>
      <c r="K5">
        <f>[1]!updatequotes(J5,$L$1:$M$1,L5:M5)</f>
        <v>0</v>
      </c>
      <c r="L5" s="7">
        <v>0.58766600000000002</v>
      </c>
      <c r="M5">
        <f t="shared" si="5"/>
        <v>0.58766600000000002</v>
      </c>
    </row>
    <row r="6" spans="1:13">
      <c r="A6">
        <v>5</v>
      </c>
      <c r="B6" t="str">
        <f t="shared" si="0"/>
        <v>EURDFSTD5=.EONIA</v>
      </c>
      <c r="C6">
        <f>[1]!updatequotes(B6,$D$1:$E$1,D6:E6)</f>
        <v>0</v>
      </c>
      <c r="D6" s="3">
        <v>0.68074999999999997</v>
      </c>
      <c r="E6" s="1">
        <f t="shared" si="1"/>
        <v>0.68074999999999997</v>
      </c>
      <c r="F6" t="str">
        <f t="shared" si="2"/>
        <v>EURDF6M5=.EONIA</v>
      </c>
      <c r="G6">
        <f>[1]!updatequotes(F6,$H$1:$I$1,H6:I6)</f>
        <v>0</v>
      </c>
      <c r="H6" s="7">
        <v>0.224441</v>
      </c>
      <c r="I6">
        <f t="shared" si="3"/>
        <v>0.224441</v>
      </c>
      <c r="J6" t="str">
        <f t="shared" si="4"/>
        <v>EURDF3M5=.EONIA</v>
      </c>
      <c r="K6">
        <f>[1]!updatequotes(J6,$L$1:$M$1,L6:M6)</f>
        <v>0</v>
      </c>
      <c r="L6" s="7">
        <v>0.30115599999999998</v>
      </c>
      <c r="M6">
        <f t="shared" si="5"/>
        <v>0.30115599999999998</v>
      </c>
    </row>
    <row r="7" spans="1:13">
      <c r="A7">
        <v>6</v>
      </c>
      <c r="B7" t="str">
        <f t="shared" si="0"/>
        <v>EURDFSTD6=.EONIA</v>
      </c>
      <c r="C7">
        <f>[1]!updatequotes(B7,$D$1:$E$1,D7:E7)</f>
        <v>0</v>
      </c>
      <c r="D7" s="3">
        <v>0.28780099999999997</v>
      </c>
      <c r="E7" s="1">
        <f t="shared" si="1"/>
        <v>0.28780099999999997</v>
      </c>
      <c r="F7" t="str">
        <f t="shared" si="2"/>
        <v>EURDF6M6=.EONIA</v>
      </c>
      <c r="G7">
        <f>[1]!updatequotes(F7,$H$1:$I$1,H7:I7)</f>
        <v>0</v>
      </c>
      <c r="H7" s="7">
        <v>0.56820400000000004</v>
      </c>
      <c r="I7">
        <f t="shared" si="3"/>
        <v>0.56820400000000004</v>
      </c>
      <c r="J7" t="str">
        <f t="shared" si="4"/>
        <v>EURDF3M6=.EONIA</v>
      </c>
      <c r="K7">
        <f>[1]!updatequotes(J7,$L$1:$M$1,L7:M7)</f>
        <v>0</v>
      </c>
      <c r="L7" s="7">
        <v>0.38183800000000001</v>
      </c>
      <c r="M7">
        <f t="shared" si="5"/>
        <v>0.38183800000000001</v>
      </c>
    </row>
    <row r="8" spans="1:13">
      <c r="A8">
        <v>7</v>
      </c>
      <c r="B8" t="str">
        <f t="shared" si="0"/>
        <v>EURDFSTD7=.EONIA</v>
      </c>
      <c r="C8">
        <f>[1]!updatequotes(B8,$D$1:$E$1,D8:E8)</f>
        <v>0</v>
      </c>
      <c r="D8" s="3">
        <v>0.75672399999999995</v>
      </c>
      <c r="E8" s="1">
        <f t="shared" si="1"/>
        <v>0.75672399999999995</v>
      </c>
      <c r="F8" t="str">
        <f t="shared" si="2"/>
        <v>EURDF6M7=.EONIA</v>
      </c>
      <c r="G8">
        <f>[1]!updatequotes(F8,$H$1:$I$1,H8:I8)</f>
        <v>0</v>
      </c>
      <c r="H8" s="6">
        <v>0.55396000000000001</v>
      </c>
      <c r="I8">
        <f t="shared" si="3"/>
        <v>0.55396000000000001</v>
      </c>
      <c r="J8" t="str">
        <f t="shared" si="4"/>
        <v>EURDF3M7=.EONIA</v>
      </c>
      <c r="K8">
        <f>[1]!updatequotes(J8,$L$1:$M$1,L8:M8)</f>
        <v>0</v>
      </c>
      <c r="L8" s="7">
        <v>0.50726700000000002</v>
      </c>
      <c r="M8">
        <f t="shared" si="5"/>
        <v>0.50726700000000002</v>
      </c>
    </row>
    <row r="9" spans="1:13">
      <c r="A9">
        <v>8</v>
      </c>
      <c r="B9" t="str">
        <f t="shared" si="0"/>
        <v>EURDFSTD8=.EONIA</v>
      </c>
      <c r="C9">
        <f>[1]!updatequotes(B9,$D$1:$E$1,D9:E9)</f>
        <v>0</v>
      </c>
      <c r="D9" s="3">
        <v>0.45192199999999999</v>
      </c>
      <c r="E9" s="1">
        <f t="shared" si="1"/>
        <v>0.45192199999999999</v>
      </c>
      <c r="F9" t="str">
        <f t="shared" si="2"/>
        <v>EURDF6M8=.EONIA</v>
      </c>
      <c r="G9">
        <f>[1]!updatequotes(F9,$H$1:$I$1,H9:I9)</f>
        <v>0</v>
      </c>
      <c r="H9" s="7">
        <v>0.59137200000000001</v>
      </c>
      <c r="I9">
        <f t="shared" si="3"/>
        <v>0.59137200000000001</v>
      </c>
      <c r="J9" t="str">
        <f t="shared" si="4"/>
        <v>EURDF3M8=.EONIA</v>
      </c>
      <c r="K9">
        <f>[1]!updatequotes(J9,$L$1:$M$1,L9:M9)</f>
        <v>0</v>
      </c>
      <c r="L9" s="7">
        <v>0.39922999999999997</v>
      </c>
      <c r="M9">
        <f t="shared" si="5"/>
        <v>0.39922999999999997</v>
      </c>
    </row>
    <row r="10" spans="1:13">
      <c r="A10">
        <v>9</v>
      </c>
      <c r="B10" t="str">
        <f t="shared" si="0"/>
        <v>EURDFSTD9=.EONIA</v>
      </c>
      <c r="C10">
        <f>[1]!updatequotes(B10,$D$1:$E$1,D10:E10)</f>
        <v>0</v>
      </c>
      <c r="D10" s="3">
        <v>0.12411800000000001</v>
      </c>
      <c r="E10" s="1">
        <f t="shared" si="1"/>
        <v>0.12411800000000001</v>
      </c>
      <c r="F10" t="str">
        <f t="shared" si="2"/>
        <v>EURDF6M9=.EONIA</v>
      </c>
      <c r="G10">
        <f>[1]!updatequotes(F10,$H$1:$I$1,H10:I10)</f>
        <v>0</v>
      </c>
      <c r="H10" s="7">
        <v>0.69022899999999998</v>
      </c>
      <c r="I10">
        <f t="shared" si="3"/>
        <v>0.69022899999999998</v>
      </c>
      <c r="J10" t="str">
        <f t="shared" si="4"/>
        <v>EURDF3M9=.EONIA</v>
      </c>
      <c r="K10">
        <f>[1]!updatequotes(J10,$L$1:$M$1,L10:M10)</f>
        <v>0</v>
      </c>
      <c r="L10" s="7">
        <v>0.43657400000000002</v>
      </c>
      <c r="M10">
        <f t="shared" si="5"/>
        <v>0.43657400000000002</v>
      </c>
    </row>
    <row r="11" spans="1:13">
      <c r="A11">
        <v>10</v>
      </c>
      <c r="B11" t="str">
        <f t="shared" si="0"/>
        <v>EURDFSTD10=.EONIA</v>
      </c>
      <c r="C11">
        <f>[1]!updatequotes(B11,$D$1:$E$1,D11:E11)</f>
        <v>0</v>
      </c>
      <c r="D11" s="3">
        <v>0.44587700000000002</v>
      </c>
      <c r="E11" s="1">
        <f t="shared" si="1"/>
        <v>0.44587700000000002</v>
      </c>
      <c r="F11" t="str">
        <f t="shared" si="2"/>
        <v>EURDF6M10=.EONIA</v>
      </c>
      <c r="G11">
        <f>[1]!updatequotes(F11,$H$1:$I$1,H11:I11)</f>
        <v>0</v>
      </c>
      <c r="H11" s="7">
        <v>0.69465100000000002</v>
      </c>
      <c r="I11">
        <f t="shared" si="3"/>
        <v>0.69465100000000002</v>
      </c>
      <c r="J11" t="str">
        <f t="shared" si="4"/>
        <v>EURDF3M10=.EONIA</v>
      </c>
      <c r="K11">
        <f>[1]!updatequotes(J11,$L$1:$M$1,L11:M11)</f>
        <v>0</v>
      </c>
      <c r="L11" s="7">
        <v>0.46437800000000001</v>
      </c>
      <c r="M11">
        <f t="shared" si="5"/>
        <v>0.46437800000000001</v>
      </c>
    </row>
    <row r="12" spans="1:13">
      <c r="A12">
        <v>11</v>
      </c>
      <c r="B12" t="str">
        <f t="shared" si="0"/>
        <v>EURDFSTD11=.EONIA</v>
      </c>
      <c r="C12">
        <f>[1]!updatequotes(B12,$D$1:$E$1,D12:E12)</f>
        <v>0</v>
      </c>
      <c r="D12" s="3">
        <v>0.17354900000000001</v>
      </c>
      <c r="E12" s="1">
        <f t="shared" si="1"/>
        <v>0.17354900000000001</v>
      </c>
      <c r="F12" t="str">
        <f t="shared" si="2"/>
        <v>EURDF6M11=.EONIA</v>
      </c>
      <c r="G12">
        <f>[1]!updatequotes(F12,$H$1:$I$1,H12:I12)</f>
        <v>0</v>
      </c>
      <c r="H12" s="7">
        <v>0.61991700000000005</v>
      </c>
      <c r="I12">
        <f t="shared" si="3"/>
        <v>0.61991700000000005</v>
      </c>
      <c r="J12" t="str">
        <f t="shared" si="4"/>
        <v>EURDF3M11=.EONIA</v>
      </c>
      <c r="K12">
        <f>[1]!updatequotes(J12,$L$1:$M$1,L12:M12)</f>
        <v>0</v>
      </c>
      <c r="L12" s="7">
        <v>0.271899</v>
      </c>
      <c r="M12">
        <f t="shared" si="5"/>
        <v>0.271899</v>
      </c>
    </row>
    <row r="13" spans="1:13">
      <c r="A13">
        <v>12</v>
      </c>
      <c r="B13" t="str">
        <f t="shared" si="0"/>
        <v>EURDFSTD12=.EONIA</v>
      </c>
      <c r="C13">
        <f>[1]!updatequotes(B13,$D$1:$E$1,D13:E13)</f>
        <v>0</v>
      </c>
      <c r="D13" s="3">
        <v>0.318969</v>
      </c>
      <c r="E13" s="1">
        <f t="shared" si="1"/>
        <v>0.318969</v>
      </c>
      <c r="F13" t="str">
        <f t="shared" si="2"/>
        <v>EURDF6M12=.EONIA</v>
      </c>
      <c r="G13">
        <f>[1]!updatequotes(F13,$H$1:$I$1,H13:I13)</f>
        <v>0</v>
      </c>
      <c r="H13" s="7">
        <v>0.15817100000000001</v>
      </c>
      <c r="I13">
        <f t="shared" si="3"/>
        <v>0.15817100000000001</v>
      </c>
      <c r="J13" t="str">
        <f t="shared" si="4"/>
        <v>EURDF3M12=.EONIA</v>
      </c>
      <c r="K13">
        <f>[1]!updatequotes(J13,$L$1:$M$1,L13:M13)</f>
        <v>0</v>
      </c>
      <c r="L13" s="7">
        <v>0.14429500000000001</v>
      </c>
      <c r="M13">
        <f t="shared" si="5"/>
        <v>0.14429500000000001</v>
      </c>
    </row>
    <row r="14" spans="1:13">
      <c r="A14">
        <v>13</v>
      </c>
      <c r="B14" t="str">
        <f t="shared" si="0"/>
        <v>EURDFSTD13=.EONIA</v>
      </c>
      <c r="C14">
        <f>[1]!updatequotes(B14,$D$1:$E$1,D14:E14)</f>
        <v>0</v>
      </c>
      <c r="D14" s="3">
        <v>1.8652999999999999E-2</v>
      </c>
      <c r="E14" s="1">
        <f t="shared" si="1"/>
        <v>1.8652999999999999E-2</v>
      </c>
      <c r="F14" t="str">
        <f t="shared" si="2"/>
        <v>EURDF6M13=.EONIA</v>
      </c>
      <c r="G14">
        <f>[1]!updatequotes(F14,$H$1:$I$1,H14:I14)</f>
        <v>0</v>
      </c>
      <c r="H14" s="7">
        <v>0.25747300000000001</v>
      </c>
      <c r="I14">
        <f t="shared" si="3"/>
        <v>0.25747300000000001</v>
      </c>
      <c r="J14" t="str">
        <f t="shared" si="4"/>
        <v>EURDF3M13=.EONIA</v>
      </c>
      <c r="K14">
        <f>[1]!updatequotes(J14,$L$1:$M$1,L14:M14)</f>
        <v>0</v>
      </c>
      <c r="L14" s="7">
        <v>0.19156599999999999</v>
      </c>
      <c r="M14">
        <f t="shared" si="5"/>
        <v>0.19156599999999999</v>
      </c>
    </row>
    <row r="15" spans="1:13">
      <c r="A15">
        <v>14</v>
      </c>
      <c r="B15" t="str">
        <f t="shared" si="0"/>
        <v>EURDFSTD14=.EONIA</v>
      </c>
      <c r="C15">
        <f>[1]!updatequotes(B15,$D$1:$E$1,D15:E15)</f>
        <v>0</v>
      </c>
      <c r="D15" s="3">
        <v>0.84835899999999997</v>
      </c>
      <c r="E15" s="1">
        <f t="shared" si="1"/>
        <v>0.84835899999999997</v>
      </c>
      <c r="F15" t="str">
        <f t="shared" si="2"/>
        <v>EURDF6M14=.EONIA</v>
      </c>
      <c r="G15">
        <f>[1]!updatequotes(F15,$H$1:$I$1,H15:I15)</f>
        <v>0</v>
      </c>
      <c r="H15" s="7">
        <v>0.27103500000000003</v>
      </c>
      <c r="I15">
        <f t="shared" si="3"/>
        <v>0.27103500000000003</v>
      </c>
      <c r="J15" t="str">
        <f t="shared" si="4"/>
        <v>EURDF3M14=.EONIA</v>
      </c>
      <c r="K15">
        <f>[1]!updatequotes(J15,$L$1:$M$1,L15:M15)</f>
        <v>0</v>
      </c>
      <c r="L15" s="7">
        <v>0.28107100000000002</v>
      </c>
      <c r="M15">
        <f t="shared" si="5"/>
        <v>0.28107100000000002</v>
      </c>
    </row>
    <row r="16" spans="1:13">
      <c r="A16">
        <v>15</v>
      </c>
      <c r="B16" t="str">
        <f t="shared" si="0"/>
        <v>EURDFSTD15=.EONIA</v>
      </c>
      <c r="C16">
        <f>[1]!updatequotes(B16,$D$1:$E$1,D16:E16)</f>
        <v>0</v>
      </c>
      <c r="D16" s="3">
        <v>0.189836</v>
      </c>
      <c r="E16" s="1">
        <f t="shared" si="1"/>
        <v>0.189836</v>
      </c>
      <c r="F16" t="str">
        <f t="shared" si="2"/>
        <v>EURDF6M15=.EONIA</v>
      </c>
      <c r="G16">
        <f>[1]!updatequotes(F16,$H$1:$I$1,H16:I16)</f>
        <v>0</v>
      </c>
      <c r="H16" s="7">
        <v>0.443743</v>
      </c>
      <c r="I16">
        <f t="shared" si="3"/>
        <v>0.443743</v>
      </c>
      <c r="J16" t="str">
        <f t="shared" si="4"/>
        <v>EURDF3M15=.EONIA</v>
      </c>
      <c r="K16">
        <f>[1]!updatequotes(J16,$L$1:$M$1,L16:M16)</f>
        <v>0</v>
      </c>
      <c r="L16" s="7">
        <v>0.38515100000000002</v>
      </c>
      <c r="M16">
        <f t="shared" si="5"/>
        <v>0.38515100000000002</v>
      </c>
    </row>
    <row r="17" spans="1:13">
      <c r="A17">
        <v>16</v>
      </c>
      <c r="B17" t="str">
        <f t="shared" si="0"/>
        <v>EURDFSTD16=.EONIA</v>
      </c>
      <c r="C17">
        <f>[1]!updatequotes(B17,$D$1:$E$1,D17:E17)</f>
        <v>0</v>
      </c>
      <c r="D17" s="3">
        <v>0.45497100000000001</v>
      </c>
      <c r="E17" s="1">
        <f t="shared" si="1"/>
        <v>0.45497100000000001</v>
      </c>
      <c r="F17" t="str">
        <f t="shared" si="2"/>
        <v>EURDF6M16=.EONIA</v>
      </c>
      <c r="G17">
        <f>[1]!updatequotes(F17,$H$1:$I$1,H17:I17)</f>
        <v>0</v>
      </c>
      <c r="H17" s="7">
        <v>8.1824999999999995E-2</v>
      </c>
      <c r="I17">
        <f t="shared" si="3"/>
        <v>8.1824999999999995E-2</v>
      </c>
      <c r="J17" t="str">
        <f t="shared" si="4"/>
        <v>EURDF3M16=.EONIA</v>
      </c>
      <c r="K17">
        <f>[1]!updatequotes(J17,$L$1:$M$1,L17:M17)</f>
        <v>0</v>
      </c>
      <c r="L17" s="7">
        <v>0.90187799999999996</v>
      </c>
      <c r="M17">
        <f t="shared" si="5"/>
        <v>0.90187799999999996</v>
      </c>
    </row>
    <row r="18" spans="1:13">
      <c r="A18">
        <v>17</v>
      </c>
      <c r="B18" t="str">
        <f t="shared" si="0"/>
        <v>EURDFSTD17=.EONIA</v>
      </c>
      <c r="C18">
        <f>[1]!updatequotes(B18,$D$1:$E$1,D18:E18)</f>
        <v>0</v>
      </c>
      <c r="D18" s="4">
        <v>0.82279000000000002</v>
      </c>
      <c r="E18" s="1">
        <f t="shared" si="1"/>
        <v>0.82279000000000002</v>
      </c>
      <c r="F18" t="str">
        <f t="shared" si="2"/>
        <v>EURDF6M17=.EONIA</v>
      </c>
      <c r="G18">
        <f>[1]!updatequotes(F18,$H$1:$I$1,H18:I18)</f>
        <v>0</v>
      </c>
      <c r="H18" s="7">
        <v>0.99142699999999995</v>
      </c>
      <c r="I18">
        <f t="shared" si="3"/>
        <v>0.99142699999999995</v>
      </c>
      <c r="J18" t="str">
        <f t="shared" si="4"/>
        <v>EURDF3M17=.EONIA</v>
      </c>
      <c r="K18">
        <f>[1]!updatequotes(J18,$L$1:$M$1,L18:M18)</f>
        <v>0</v>
      </c>
      <c r="L18" s="7">
        <v>0.51344900000000004</v>
      </c>
      <c r="M18">
        <f t="shared" si="5"/>
        <v>0.51344900000000004</v>
      </c>
    </row>
    <row r="19" spans="1:13">
      <c r="A19">
        <v>18</v>
      </c>
      <c r="B19" t="str">
        <f t="shared" si="0"/>
        <v>EURDFSTD18=.EONIA</v>
      </c>
      <c r="C19">
        <f>[1]!updatequotes(B19,$D$1:$E$1,D19:E19)</f>
        <v>0</v>
      </c>
      <c r="D19" s="3">
        <v>0.54104300000000005</v>
      </c>
      <c r="E19" s="1">
        <f t="shared" si="1"/>
        <v>0.54104300000000005</v>
      </c>
      <c r="F19" t="str">
        <f t="shared" si="2"/>
        <v>EURDF6M18=.EONIA</v>
      </c>
      <c r="G19">
        <f>[1]!updatequotes(F19,$H$1:$I$1,H19:I19)</f>
        <v>0</v>
      </c>
      <c r="H19" s="7">
        <v>0.66192899999999999</v>
      </c>
      <c r="I19">
        <f t="shared" si="3"/>
        <v>0.66192899999999999</v>
      </c>
      <c r="J19" t="str">
        <f t="shared" si="4"/>
        <v>EURDF3M18=.EONIA</v>
      </c>
      <c r="K19">
        <f>[1]!updatequotes(J19,$L$1:$M$1,L19:M19)</f>
        <v>0</v>
      </c>
      <c r="L19" s="7">
        <v>0.85801000000000005</v>
      </c>
      <c r="M19">
        <f t="shared" si="5"/>
        <v>0.85801000000000005</v>
      </c>
    </row>
    <row r="20" spans="1:13">
      <c r="A20">
        <v>19</v>
      </c>
      <c r="B20" t="str">
        <f t="shared" si="0"/>
        <v>EURDFSTD19=.EONIA</v>
      </c>
      <c r="C20">
        <f>[1]!updatequotes(B20,$D$1:$E$1,D20:E20)</f>
        <v>0</v>
      </c>
      <c r="D20" s="3">
        <v>0.23075899999999999</v>
      </c>
      <c r="E20" s="1">
        <f t="shared" si="1"/>
        <v>0.23075899999999999</v>
      </c>
      <c r="F20" t="str">
        <f t="shared" si="2"/>
        <v>EURDF6M19=.EONIA</v>
      </c>
      <c r="G20">
        <f>[1]!updatequotes(F20,$H$1:$I$1,H20:I20)</f>
        <v>0</v>
      </c>
      <c r="H20" s="7">
        <v>0.66718100000000002</v>
      </c>
      <c r="I20">
        <f t="shared" si="3"/>
        <v>0.66718100000000002</v>
      </c>
      <c r="J20" t="str">
        <f t="shared" si="4"/>
        <v>EURDF3M19=.EONIA</v>
      </c>
      <c r="K20">
        <f>[1]!updatequotes(J20,$L$1:$M$1,L20:M20)</f>
        <v>0</v>
      </c>
      <c r="L20" s="7">
        <v>0.44264500000000001</v>
      </c>
      <c r="M20">
        <f t="shared" si="5"/>
        <v>0.44264500000000001</v>
      </c>
    </row>
    <row r="21" spans="1:13">
      <c r="A21">
        <v>20</v>
      </c>
      <c r="B21" t="str">
        <f t="shared" si="0"/>
        <v>EURDFSTD20=.EONIA</v>
      </c>
      <c r="C21">
        <f>[1]!updatequotes(B21,$D$1:$E$1,D21:E21)</f>
        <v>0</v>
      </c>
      <c r="D21" s="3">
        <v>7.8118000000000007E-2</v>
      </c>
      <c r="E21" s="1">
        <f t="shared" si="1"/>
        <v>7.8118000000000007E-2</v>
      </c>
      <c r="F21" t="str">
        <f t="shared" si="2"/>
        <v>EURDF6M20=.EONIA</v>
      </c>
      <c r="G21">
        <f>[1]!updatequotes(F21,$H$1:$I$1,H21:I21)</f>
        <v>0</v>
      </c>
      <c r="H21" s="7">
        <v>0.61135700000000004</v>
      </c>
      <c r="I21">
        <f t="shared" si="3"/>
        <v>0.61135700000000004</v>
      </c>
      <c r="J21" t="str">
        <f t="shared" si="4"/>
        <v>EURDF3M20=.EONIA</v>
      </c>
      <c r="K21">
        <f>[1]!updatequotes(J21,$L$1:$M$1,L21:M21)</f>
        <v>0</v>
      </c>
      <c r="L21" s="7">
        <v>0.102053</v>
      </c>
      <c r="M21">
        <f t="shared" si="5"/>
        <v>0.102053</v>
      </c>
    </row>
    <row r="22" spans="1:13">
      <c r="A22">
        <v>21</v>
      </c>
      <c r="B22" t="str">
        <f t="shared" si="0"/>
        <v>EURDFSTD21=.EONIA</v>
      </c>
      <c r="C22">
        <f>[1]!updatequotes(B22,$D$1:$E$1,D22:E22)</f>
        <v>0</v>
      </c>
      <c r="D22" s="3">
        <v>0.84881600000000001</v>
      </c>
      <c r="E22" s="1">
        <f t="shared" si="1"/>
        <v>0.84881600000000001</v>
      </c>
      <c r="F22" t="str">
        <f t="shared" si="2"/>
        <v>EURDF6M21=.EONIA</v>
      </c>
      <c r="G22">
        <f>[1]!updatequotes(F22,$H$1:$I$1,H22:I22)</f>
        <v>0</v>
      </c>
      <c r="H22" s="7">
        <v>0.361788</v>
      </c>
      <c r="I22">
        <f t="shared" si="3"/>
        <v>0.361788</v>
      </c>
      <c r="J22" t="str">
        <f t="shared" si="4"/>
        <v>EURDF3M21=.EONIA</v>
      </c>
      <c r="K22">
        <f>[1]!updatequotes(J22,$L$1:$M$1,L22:M22)</f>
        <v>0</v>
      </c>
      <c r="L22" s="7">
        <v>0.87007999999999996</v>
      </c>
      <c r="M22">
        <f t="shared" si="5"/>
        <v>0.87007999999999996</v>
      </c>
    </row>
    <row r="23" spans="1:13">
      <c r="A23">
        <v>22</v>
      </c>
      <c r="B23" t="str">
        <f t="shared" si="0"/>
        <v>EURDFSTD22=.EONIA</v>
      </c>
      <c r="C23">
        <f>[1]!updatequotes(B23,$D$1:$E$1,D23:E23)</f>
        <v>0</v>
      </c>
      <c r="D23" s="3">
        <v>0.28711100000000001</v>
      </c>
      <c r="E23" s="1">
        <f t="shared" si="1"/>
        <v>0.28711100000000001</v>
      </c>
      <c r="F23" t="str">
        <f t="shared" si="2"/>
        <v>EURDF6M22=.EONIA</v>
      </c>
      <c r="G23">
        <f>[1]!updatequotes(F23,$H$1:$I$1,H23:I23)</f>
        <v>0</v>
      </c>
      <c r="H23" s="7">
        <v>0.69767000000000001</v>
      </c>
      <c r="I23">
        <f t="shared" si="3"/>
        <v>0.69767000000000001</v>
      </c>
      <c r="J23" t="str">
        <f t="shared" si="4"/>
        <v>EURDF3M22=.EONIA</v>
      </c>
      <c r="K23">
        <f>[1]!updatequotes(J23,$L$1:$M$1,L23:M23)</f>
        <v>0</v>
      </c>
      <c r="L23" s="7">
        <v>5.9299999999999999E-4</v>
      </c>
      <c r="M23">
        <f t="shared" si="5"/>
        <v>5.9299999999999999E-4</v>
      </c>
    </row>
    <row r="24" spans="1:13">
      <c r="A24">
        <v>23</v>
      </c>
      <c r="B24" t="str">
        <f t="shared" si="0"/>
        <v>EURDFSTD23=.EONIA</v>
      </c>
      <c r="C24">
        <f>[1]!updatequotes(B24,$D$1:$E$1,D24:E24)</f>
        <v>0</v>
      </c>
      <c r="D24" s="3">
        <v>0.56455500000000003</v>
      </c>
      <c r="E24" s="1">
        <f t="shared" si="1"/>
        <v>0.56455500000000003</v>
      </c>
      <c r="F24" t="str">
        <f t="shared" si="2"/>
        <v>EURDF6M23=.EONIA</v>
      </c>
      <c r="G24">
        <f>[1]!updatequotes(F24,$H$1:$I$1,H24:I24)</f>
        <v>0</v>
      </c>
      <c r="H24" s="7">
        <v>2.0279999999999999E-3</v>
      </c>
      <c r="I24">
        <f t="shared" si="3"/>
        <v>2.0279999999999999E-3</v>
      </c>
      <c r="J24" t="str">
        <f t="shared" si="4"/>
        <v>EURDF3M23=.EONIA</v>
      </c>
      <c r="K24">
        <f>[1]!updatequotes(J24,$L$1:$M$1,L24:M24)</f>
        <v>0</v>
      </c>
      <c r="L24" s="7">
        <v>0.95281700000000003</v>
      </c>
      <c r="M24">
        <f t="shared" si="5"/>
        <v>0.95281700000000003</v>
      </c>
    </row>
    <row r="25" spans="1:13">
      <c r="A25">
        <v>24</v>
      </c>
      <c r="B25" t="str">
        <f t="shared" si="0"/>
        <v>EURDFSTD24=.EONIA</v>
      </c>
      <c r="C25">
        <f>[1]!updatequotes(B25,$D$1:$E$1,D25:E25)</f>
        <v>0</v>
      </c>
      <c r="D25" s="3">
        <v>0.300564</v>
      </c>
      <c r="E25" s="1">
        <f t="shared" si="1"/>
        <v>0.300564</v>
      </c>
      <c r="F25" t="str">
        <f t="shared" si="2"/>
        <v>EURDF6M24=.EONIA</v>
      </c>
      <c r="G25">
        <f>[1]!updatequotes(F25,$H$1:$I$1,H25:I25)</f>
        <v>0</v>
      </c>
      <c r="H25" s="7">
        <v>0.65512199999999998</v>
      </c>
      <c r="I25">
        <f t="shared" si="3"/>
        <v>0.65512199999999998</v>
      </c>
      <c r="J25" t="str">
        <f t="shared" si="4"/>
        <v>EURDF3M24=.EONIA</v>
      </c>
      <c r="K25">
        <f>[1]!updatequotes(J25,$L$1:$M$1,L25:M25)</f>
        <v>0</v>
      </c>
      <c r="L25" s="7">
        <v>0.52504499999999998</v>
      </c>
      <c r="M25">
        <f t="shared" si="5"/>
        <v>0.52504499999999998</v>
      </c>
    </row>
    <row r="26" spans="1:13">
      <c r="A26">
        <v>25</v>
      </c>
      <c r="B26" t="str">
        <f t="shared" si="0"/>
        <v>EURDFSTD25=.EONIA</v>
      </c>
      <c r="C26">
        <f>[1]!updatequotes(B26,$D$1:$E$1,D26:E26)</f>
        <v>0</v>
      </c>
      <c r="D26" s="3">
        <v>0.431448</v>
      </c>
      <c r="E26" s="1">
        <f t="shared" si="1"/>
        <v>0.431448</v>
      </c>
      <c r="F26" t="str">
        <f t="shared" si="2"/>
        <v>EURDF6M25=.EONIA</v>
      </c>
      <c r="G26">
        <f>[1]!updatequotes(F26,$H$1:$I$1,H26:I26)</f>
        <v>0</v>
      </c>
      <c r="H26" s="7">
        <v>0.75872399999999995</v>
      </c>
      <c r="I26">
        <f t="shared" si="3"/>
        <v>0.75872399999999995</v>
      </c>
      <c r="J26" t="str">
        <f t="shared" si="4"/>
        <v>EURDF3M25=.EONIA</v>
      </c>
      <c r="K26">
        <f>[1]!updatequotes(J26,$L$1:$M$1,L26:M26)</f>
        <v>0</v>
      </c>
      <c r="L26" s="7">
        <v>0.101663</v>
      </c>
      <c r="M26">
        <f t="shared" si="5"/>
        <v>0.101663</v>
      </c>
    </row>
    <row r="27" spans="1:13">
      <c r="A27">
        <v>26</v>
      </c>
      <c r="B27" t="str">
        <f t="shared" si="0"/>
        <v>EURDFSTD26=.EONIA</v>
      </c>
      <c r="C27">
        <f>[1]!updatequotes(B27,$D$1:$E$1,D27:E27)</f>
        <v>0</v>
      </c>
      <c r="D27" s="3">
        <v>0.98325899999999999</v>
      </c>
      <c r="E27" s="1">
        <f t="shared" si="1"/>
        <v>0.98325899999999999</v>
      </c>
      <c r="F27" t="str">
        <f t="shared" si="2"/>
        <v>EURDF6M26=.EONIA</v>
      </c>
      <c r="G27">
        <f>[1]!updatequotes(F27,$H$1:$I$1,H27:I27)</f>
        <v>0</v>
      </c>
      <c r="H27" s="7">
        <v>0.71365800000000001</v>
      </c>
      <c r="I27">
        <f t="shared" si="3"/>
        <v>0.71365800000000001</v>
      </c>
      <c r="J27" t="str">
        <f t="shared" si="4"/>
        <v>EURDF3M26=.EONIA</v>
      </c>
      <c r="K27">
        <f>[1]!updatequotes(J27,$L$1:$M$1,L27:M27)</f>
        <v>0</v>
      </c>
      <c r="L27" s="7">
        <v>0.16678499999999999</v>
      </c>
      <c r="M27">
        <f t="shared" si="5"/>
        <v>0.16678499999999999</v>
      </c>
    </row>
    <row r="28" spans="1:13">
      <c r="A28">
        <v>27</v>
      </c>
      <c r="B28" t="str">
        <f t="shared" si="0"/>
        <v>EURDFSTD27=.EONIA</v>
      </c>
      <c r="C28">
        <f>[1]!updatequotes(B28,$D$1:$E$1,D28:E28)</f>
        <v>0</v>
      </c>
      <c r="D28" s="3">
        <v>3.4026000000000001E-2</v>
      </c>
      <c r="E28" s="1">
        <f t="shared" si="1"/>
        <v>3.4026000000000001E-2</v>
      </c>
      <c r="F28" t="str">
        <f t="shared" si="2"/>
        <v>EURDF6M27=.EONIA</v>
      </c>
      <c r="G28">
        <f>[1]!updatequotes(F28,$H$1:$I$1,H28:I28)</f>
        <v>0</v>
      </c>
      <c r="H28" s="7">
        <v>0.86199499999999996</v>
      </c>
      <c r="I28">
        <f t="shared" si="3"/>
        <v>0.86199499999999996</v>
      </c>
      <c r="J28" t="str">
        <f t="shared" si="4"/>
        <v>EURDF3M27=.EONIA</v>
      </c>
      <c r="K28">
        <f>[1]!updatequotes(J28,$L$1:$M$1,L28:M28)</f>
        <v>0</v>
      </c>
      <c r="L28" s="7">
        <v>0.239312</v>
      </c>
      <c r="M28">
        <f t="shared" si="5"/>
        <v>0.239312</v>
      </c>
    </row>
    <row r="29" spans="1:13">
      <c r="A29">
        <v>28</v>
      </c>
      <c r="B29" t="str">
        <f t="shared" si="0"/>
        <v>EURDFSTD28=.EONIA</v>
      </c>
      <c r="C29">
        <f>[1]!updatequotes(B29,$D$1:$E$1,D29:E29)</f>
        <v>0</v>
      </c>
      <c r="D29" s="3">
        <v>0.42934099999999997</v>
      </c>
      <c r="E29" s="1">
        <f t="shared" si="1"/>
        <v>0.42934099999999997</v>
      </c>
      <c r="F29" t="str">
        <f t="shared" si="2"/>
        <v>EURDF6M28=.EONIA</v>
      </c>
      <c r="G29">
        <f>[1]!updatequotes(F29,$H$1:$I$1,H29:I29)</f>
        <v>0</v>
      </c>
      <c r="H29" s="7">
        <v>0.120963</v>
      </c>
      <c r="I29">
        <f t="shared" si="3"/>
        <v>0.120963</v>
      </c>
      <c r="J29" t="str">
        <f t="shared" si="4"/>
        <v>EURDF3M28=.EONIA</v>
      </c>
      <c r="K29">
        <f>[1]!updatequotes(J29,$L$1:$M$1,L29:M29)</f>
        <v>0</v>
      </c>
      <c r="L29" s="7">
        <v>0.51467499999999999</v>
      </c>
      <c r="M29">
        <f t="shared" si="5"/>
        <v>0.51467499999999999</v>
      </c>
    </row>
    <row r="30" spans="1:13">
      <c r="A30">
        <v>29</v>
      </c>
      <c r="B30" t="str">
        <f t="shared" si="0"/>
        <v>EURDFSTD29=.EONIA</v>
      </c>
      <c r="C30">
        <f>[1]!updatequotes(B30,$D$1:$E$1,D30:E30)</f>
        <v>0</v>
      </c>
      <c r="D30" s="3">
        <v>8.0397999999999997E-2</v>
      </c>
      <c r="E30" s="1">
        <f t="shared" si="1"/>
        <v>8.0397999999999997E-2</v>
      </c>
      <c r="F30" t="str">
        <f t="shared" si="2"/>
        <v>EURDF6M29=.EONIA</v>
      </c>
      <c r="G30">
        <f>[1]!updatequotes(F30,$H$1:$I$1,H30:I30)</f>
        <v>0</v>
      </c>
      <c r="H30" s="6">
        <v>0.94151099999999999</v>
      </c>
      <c r="I30">
        <f t="shared" si="3"/>
        <v>0.94151099999999999</v>
      </c>
      <c r="J30" t="str">
        <f t="shared" si="4"/>
        <v>EURDF3M29=.EONIA</v>
      </c>
      <c r="K30">
        <f>[1]!updatequotes(J30,$L$1:$M$1,L30:M30)</f>
        <v>0</v>
      </c>
      <c r="L30" s="7">
        <v>0.46089000000000002</v>
      </c>
      <c r="M30">
        <f t="shared" si="5"/>
        <v>0.46089000000000002</v>
      </c>
    </row>
    <row r="31" spans="1:13">
      <c r="A31">
        <v>30</v>
      </c>
      <c r="B31" t="str">
        <f t="shared" si="0"/>
        <v>EURDFSTD30=.EONIA</v>
      </c>
      <c r="C31">
        <f>[1]!updatequotes(B31,$D$1:$E$1,D31:E31)</f>
        <v>0</v>
      </c>
      <c r="D31" s="3">
        <v>0.16867499999999999</v>
      </c>
      <c r="E31" s="1">
        <f t="shared" si="1"/>
        <v>0.16867499999999999</v>
      </c>
      <c r="F31" t="str">
        <f t="shared" si="2"/>
        <v>EURDF6M30=.EONIA</v>
      </c>
      <c r="G31">
        <f>[1]!updatequotes(F31,$H$1:$I$1,H31:I31)</f>
        <v>0</v>
      </c>
      <c r="H31" s="7">
        <v>0.81555500000000003</v>
      </c>
      <c r="I31">
        <f t="shared" si="3"/>
        <v>0.81555500000000003</v>
      </c>
      <c r="J31" t="str">
        <f t="shared" si="4"/>
        <v>EURDF3M30=.EONIA</v>
      </c>
      <c r="K31">
        <f>[1]!updatequotes(J31,$L$1:$M$1,L31:M31)</f>
        <v>0</v>
      </c>
      <c r="L31" s="7">
        <v>0.19733500000000001</v>
      </c>
      <c r="M31">
        <f t="shared" si="5"/>
        <v>0.19733500000000001</v>
      </c>
    </row>
    <row r="32" spans="1:13">
      <c r="A32">
        <v>31</v>
      </c>
      <c r="B32" t="str">
        <f t="shared" si="0"/>
        <v>EURDFSTD31=.EONIA</v>
      </c>
      <c r="C32">
        <f>[1]!updatequotes(B32,$D$1:$E$1,D32:E32)</f>
        <v>0</v>
      </c>
      <c r="D32" s="3">
        <v>0.9466</v>
      </c>
      <c r="E32" s="1">
        <f t="shared" si="1"/>
        <v>0.9466</v>
      </c>
      <c r="F32" t="str">
        <f t="shared" si="2"/>
        <v>EURDF6M31=.EONIA</v>
      </c>
      <c r="G32">
        <f>[1]!updatequotes(F32,$H$1:$I$1,H32:I32)</f>
        <v>0</v>
      </c>
      <c r="H32" s="7">
        <v>0.73015099999999999</v>
      </c>
      <c r="I32">
        <f t="shared" si="3"/>
        <v>0.73015099999999999</v>
      </c>
      <c r="J32" t="str">
        <f t="shared" si="4"/>
        <v>EURDF3M31=.EONIA</v>
      </c>
      <c r="K32">
        <f>[1]!updatequotes(J32,$L$1:$M$1,L32:M32)</f>
        <v>0</v>
      </c>
      <c r="L32" s="7">
        <v>0.64994499999999999</v>
      </c>
      <c r="M32">
        <f t="shared" si="5"/>
        <v>0.64994499999999999</v>
      </c>
    </row>
    <row r="33" spans="1:13">
      <c r="A33">
        <v>32</v>
      </c>
      <c r="B33" t="str">
        <f t="shared" si="0"/>
        <v>EURDFSTD32=.EONIA</v>
      </c>
      <c r="C33">
        <f>[1]!updatequotes(B33,$D$1:$E$1,D33:E33)</f>
        <v>0</v>
      </c>
      <c r="D33" s="4">
        <v>0.96040899999999996</v>
      </c>
      <c r="E33" s="1">
        <f t="shared" si="1"/>
        <v>0.96040899999999996</v>
      </c>
      <c r="F33" t="str">
        <f t="shared" si="2"/>
        <v>EURDF6M32=.EONIA</v>
      </c>
      <c r="G33">
        <f>[1]!updatequotes(F33,$H$1:$I$1,H33:I33)</f>
        <v>0</v>
      </c>
      <c r="H33" s="7">
        <v>0.94710899999999998</v>
      </c>
      <c r="I33">
        <f t="shared" si="3"/>
        <v>0.94710899999999998</v>
      </c>
      <c r="J33" t="str">
        <f t="shared" si="4"/>
        <v>EURDF3M32=.EONIA</v>
      </c>
      <c r="K33">
        <f>[1]!updatequotes(J33,$L$1:$M$1,L33:M33)</f>
        <v>0</v>
      </c>
      <c r="L33" s="7">
        <v>0.529532</v>
      </c>
      <c r="M33">
        <f t="shared" si="5"/>
        <v>0.529532</v>
      </c>
    </row>
    <row r="34" spans="1:13">
      <c r="A34">
        <v>33</v>
      </c>
      <c r="B34" t="str">
        <f t="shared" si="0"/>
        <v>EURDFSTD33=.EONIA</v>
      </c>
      <c r="C34">
        <f>[1]!updatequotes(B34,$D$1:$E$1,D34:E34)</f>
        <v>0</v>
      </c>
      <c r="D34" s="3">
        <v>0.54965200000000003</v>
      </c>
      <c r="E34" s="1">
        <f t="shared" si="1"/>
        <v>0.54965200000000003</v>
      </c>
      <c r="F34" t="str">
        <f t="shared" si="2"/>
        <v>EURDF6M33=.EONIA</v>
      </c>
      <c r="G34">
        <f>[1]!updatequotes(F34,$H$1:$I$1,H34:I34)</f>
        <v>0</v>
      </c>
      <c r="H34" s="7">
        <v>0.54627700000000001</v>
      </c>
      <c r="I34">
        <f t="shared" si="3"/>
        <v>0.54627700000000001</v>
      </c>
      <c r="J34" t="str">
        <f t="shared" si="4"/>
        <v>EURDF3M33=.EONIA</v>
      </c>
      <c r="K34">
        <f>[1]!updatequotes(J34,$L$1:$M$1,L34:M34)</f>
        <v>0</v>
      </c>
      <c r="L34" s="7">
        <v>0.74356900000000004</v>
      </c>
      <c r="M34">
        <f t="shared" si="5"/>
        <v>0.74356900000000004</v>
      </c>
    </row>
    <row r="35" spans="1:13">
      <c r="A35">
        <v>34</v>
      </c>
      <c r="B35" t="str">
        <f t="shared" si="0"/>
        <v>EURDFSTD34=.EONIA</v>
      </c>
      <c r="C35">
        <f>[1]!updatequotes(B35,$D$1:$E$1,D35:E35)</f>
        <v>0</v>
      </c>
      <c r="D35" s="3">
        <v>8.0783999999999995E-2</v>
      </c>
      <c r="E35" s="1">
        <f t="shared" si="1"/>
        <v>8.0783999999999995E-2</v>
      </c>
      <c r="F35" t="str">
        <f t="shared" si="2"/>
        <v>EURDF6M34=.EONIA</v>
      </c>
      <c r="G35">
        <f>[1]!updatequotes(F35,$H$1:$I$1,H35:I35)</f>
        <v>0</v>
      </c>
      <c r="H35" s="7">
        <v>0.17343</v>
      </c>
      <c r="I35">
        <f t="shared" si="3"/>
        <v>0.17343</v>
      </c>
      <c r="J35" t="str">
        <f t="shared" si="4"/>
        <v>EURDF3M34=.EONIA</v>
      </c>
      <c r="K35">
        <f>[1]!updatequotes(J35,$L$1:$M$1,L35:M35)</f>
        <v>0</v>
      </c>
      <c r="L35" s="7">
        <v>0.35905599999999999</v>
      </c>
      <c r="M35">
        <f t="shared" si="5"/>
        <v>0.35905599999999999</v>
      </c>
    </row>
    <row r="36" spans="1:13">
      <c r="A36">
        <v>35</v>
      </c>
      <c r="B36" t="str">
        <f t="shared" si="0"/>
        <v>EURDFSTD35=.EONIA</v>
      </c>
      <c r="C36">
        <f>[1]!updatequotes(B36,$D$1:$E$1,D36:E36)</f>
        <v>0</v>
      </c>
      <c r="D36" s="3">
        <v>0.81585200000000002</v>
      </c>
      <c r="E36" s="1">
        <f t="shared" si="1"/>
        <v>0.81585200000000002</v>
      </c>
      <c r="F36" t="str">
        <f t="shared" si="2"/>
        <v>EURDF6M35=.EONIA</v>
      </c>
      <c r="G36">
        <f>[1]!updatequotes(F36,$H$1:$I$1,H36:I36)</f>
        <v>0</v>
      </c>
      <c r="H36" s="7">
        <v>0.27051500000000001</v>
      </c>
      <c r="I36">
        <f t="shared" si="3"/>
        <v>0.27051500000000001</v>
      </c>
      <c r="J36" t="str">
        <f t="shared" si="4"/>
        <v>EURDF3M35=.EONIA</v>
      </c>
      <c r="K36">
        <f>[1]!updatequotes(J36,$L$1:$M$1,L36:M36)</f>
        <v>0</v>
      </c>
      <c r="L36" s="7">
        <v>0.64524300000000001</v>
      </c>
      <c r="M36">
        <f t="shared" si="5"/>
        <v>0.64524300000000001</v>
      </c>
    </row>
    <row r="37" spans="1:13">
      <c r="A37">
        <v>36</v>
      </c>
      <c r="F37" t="str">
        <f>CONCATENATE("EURDF6M",A37,"=.EONIA")</f>
        <v>EURDF6M36=.EONIA</v>
      </c>
      <c r="G37">
        <f>[1]!updatequotes(F37,$H$1:$I$1,H37:I37)</f>
        <v>0</v>
      </c>
      <c r="H37" s="7">
        <v>0.96575500000000003</v>
      </c>
      <c r="I37">
        <f t="shared" si="3"/>
        <v>0.96575500000000003</v>
      </c>
      <c r="J37" t="str">
        <f t="shared" si="4"/>
        <v>EURDF3M36=.EONIA</v>
      </c>
      <c r="K37">
        <f>[1]!updatequotes(J37,$L$1:$M$1,L37:M37)</f>
        <v>0</v>
      </c>
      <c r="L37" s="7">
        <v>0.508266</v>
      </c>
      <c r="M37">
        <f t="shared" si="5"/>
        <v>0.508266</v>
      </c>
    </row>
    <row r="38" spans="1:13">
      <c r="A38">
        <v>37</v>
      </c>
      <c r="F38" t="str">
        <f t="shared" si="2"/>
        <v>EURDF6M37=.EONIA</v>
      </c>
      <c r="G38">
        <f>[1]!updatequotes(F38,$H$1:$I$1,H38:I38)</f>
        <v>0</v>
      </c>
      <c r="H38" s="7">
        <v>0.925732</v>
      </c>
      <c r="I38">
        <f t="shared" si="3"/>
        <v>0.925732</v>
      </c>
      <c r="J38" t="str">
        <f t="shared" si="4"/>
        <v>EURDF3M37=.EONIA</v>
      </c>
      <c r="K38">
        <f>[1]!updatequotes(J38,$L$1:$M$1,L38:M38)</f>
        <v>0</v>
      </c>
      <c r="L38" s="7">
        <v>0.77074600000000004</v>
      </c>
      <c r="M38">
        <f t="shared" si="5"/>
        <v>0.77074600000000004</v>
      </c>
    </row>
    <row r="39" spans="1:13">
      <c r="A39">
        <v>38</v>
      </c>
      <c r="F39" t="str">
        <f t="shared" si="2"/>
        <v>EURDF6M38=.EONIA</v>
      </c>
      <c r="G39">
        <f>[1]!updatequotes(F39,$H$1:$I$1,H39:I39)</f>
        <v>0</v>
      </c>
      <c r="H39" s="7">
        <v>0.58987599999999996</v>
      </c>
      <c r="I39">
        <f t="shared" si="3"/>
        <v>0.58987599999999996</v>
      </c>
      <c r="J39" t="str">
        <f t="shared" si="4"/>
        <v>EURDF3M38=.EONIA</v>
      </c>
      <c r="K39">
        <f>[1]!updatequotes(J39,$L$1:$M$1,L39:M39)</f>
        <v>0</v>
      </c>
      <c r="L39" s="7">
        <v>6.2605999999999995E-2</v>
      </c>
      <c r="M39">
        <f t="shared" si="5"/>
        <v>6.2605999999999995E-2</v>
      </c>
    </row>
    <row r="40" spans="1:13">
      <c r="A40">
        <v>39</v>
      </c>
      <c r="F40" t="str">
        <f t="shared" si="2"/>
        <v>EURDF6M39=.EONIA</v>
      </c>
      <c r="G40">
        <f>[1]!updatequotes(F40,$H$1:$I$1,H40:I40)</f>
        <v>0</v>
      </c>
      <c r="H40" s="7">
        <v>0.87204400000000004</v>
      </c>
      <c r="I40">
        <f t="shared" si="3"/>
        <v>0.87204400000000004</v>
      </c>
      <c r="J40" t="str">
        <f t="shared" si="4"/>
        <v>EURDF3M39=.EONIA</v>
      </c>
      <c r="K40">
        <f>[1]!updatequotes(J40,$L$1:$M$1,L40:M40)</f>
        <v>0</v>
      </c>
      <c r="L40" s="6">
        <v>0.74708300000000005</v>
      </c>
      <c r="M40">
        <f t="shared" si="5"/>
        <v>0.74708300000000005</v>
      </c>
    </row>
    <row r="41" spans="1:13">
      <c r="A41">
        <v>40</v>
      </c>
      <c r="F41" t="str">
        <f t="shared" si="2"/>
        <v>EURDF6M40=.EONIA</v>
      </c>
      <c r="G41">
        <f>[1]!updatequotes(F41,$H$1:$I$1,H41:I41)</f>
        <v>0</v>
      </c>
      <c r="H41" s="7">
        <v>0.33962199999999998</v>
      </c>
      <c r="I41">
        <f t="shared" si="3"/>
        <v>0.33962199999999998</v>
      </c>
      <c r="J41" t="str">
        <f t="shared" si="4"/>
        <v>EURDF3M40=.EONIA</v>
      </c>
      <c r="K41">
        <f>[1]!updatequotes(J41,$L$1:$M$1,L41:M41)</f>
        <v>0</v>
      </c>
      <c r="L41" s="5">
        <v>0.667821</v>
      </c>
      <c r="M41">
        <f t="shared" si="5"/>
        <v>0.667821</v>
      </c>
    </row>
    <row r="42" spans="1:13">
      <c r="A42">
        <v>41</v>
      </c>
      <c r="F42" t="str">
        <f t="shared" si="2"/>
        <v>EURDF6M41=.EONIA</v>
      </c>
      <c r="G42">
        <f>[1]!updatequotes(F42,$H$1:$I$1,H42:I42)</f>
        <v>0</v>
      </c>
      <c r="H42" s="7">
        <v>0.53054100000000004</v>
      </c>
      <c r="I42">
        <f t="shared" si="3"/>
        <v>0.53054100000000004</v>
      </c>
    </row>
    <row r="43" spans="1:13">
      <c r="A43">
        <v>42</v>
      </c>
      <c r="F43" t="str">
        <f t="shared" si="2"/>
        <v>EURDF6M42=.EONIA</v>
      </c>
      <c r="G43">
        <f>[1]!updatequotes(F43,$H$1:$I$1,H43:I43)</f>
        <v>0</v>
      </c>
      <c r="H43" s="7">
        <v>0.807056</v>
      </c>
      <c r="I43">
        <f t="shared" si="3"/>
        <v>0.807056</v>
      </c>
    </row>
    <row r="44" spans="1:13">
      <c r="A44">
        <v>43</v>
      </c>
      <c r="F44" t="str">
        <f t="shared" si="2"/>
        <v>EURDF6M43=.EONIA</v>
      </c>
      <c r="G44">
        <f>[1]!updatequotes(F44,$H$1:$I$1,H44:I44)</f>
        <v>0</v>
      </c>
      <c r="H44" s="7">
        <v>0.68267599999999995</v>
      </c>
      <c r="I44">
        <f t="shared" si="3"/>
        <v>0.68267599999999995</v>
      </c>
    </row>
    <row r="45" spans="1:13">
      <c r="A45">
        <v>44</v>
      </c>
      <c r="F45" t="str">
        <f t="shared" si="2"/>
        <v>EURDF6M44=.EONIA</v>
      </c>
      <c r="G45">
        <f>[1]!updatequotes(F45,$H$1:$I$1,H45:I45)</f>
        <v>0</v>
      </c>
      <c r="H45" s="7">
        <v>0.58690900000000001</v>
      </c>
      <c r="I45">
        <f t="shared" si="3"/>
        <v>0.58690900000000001</v>
      </c>
    </row>
    <row r="46" spans="1:13">
      <c r="A46">
        <v>45</v>
      </c>
      <c r="F46" t="str">
        <f t="shared" si="2"/>
        <v>EURDF6M45=.EONIA</v>
      </c>
      <c r="G46">
        <f>[1]!updatequotes(F46,$H$1:$I$1,H46:I46)</f>
        <v>0</v>
      </c>
      <c r="H46" s="7">
        <v>0.96606199999999998</v>
      </c>
      <c r="I46">
        <f t="shared" si="3"/>
        <v>0.96606199999999998</v>
      </c>
    </row>
    <row r="47" spans="1:13">
      <c r="A47">
        <v>46</v>
      </c>
      <c r="F47" t="str">
        <f t="shared" si="2"/>
        <v>EURDF6M46=.EONIA</v>
      </c>
      <c r="G47">
        <f>[1]!updatequotes(F47,$H$1:$I$1,H47:I47)</f>
        <v>0</v>
      </c>
      <c r="H47" s="7">
        <v>0.99152799999999996</v>
      </c>
      <c r="I47">
        <f t="shared" si="3"/>
        <v>0.99152799999999996</v>
      </c>
    </row>
    <row r="48" spans="1:13">
      <c r="A48">
        <v>47</v>
      </c>
      <c r="F48" t="str">
        <f t="shared" si="2"/>
        <v>EURDF6M47=.EONIA</v>
      </c>
      <c r="G48">
        <f>[1]!updatequotes(F48,$H$1:$I$1,H48:I48)</f>
        <v>0</v>
      </c>
      <c r="H48" s="7">
        <v>0.88512299999999999</v>
      </c>
      <c r="I48">
        <f t="shared" si="3"/>
        <v>0.88512299999999999</v>
      </c>
    </row>
    <row r="49" spans="1:9">
      <c r="A49">
        <v>48</v>
      </c>
      <c r="F49" t="str">
        <f t="shared" si="2"/>
        <v>EURDF6M48=.EONIA</v>
      </c>
      <c r="G49">
        <f>[1]!updatequotes(F49,$H$1:$I$1,H49:I49)</f>
        <v>0</v>
      </c>
      <c r="H49" s="7">
        <v>0.13711300000000001</v>
      </c>
      <c r="I49">
        <f t="shared" si="3"/>
        <v>0.13711300000000001</v>
      </c>
    </row>
    <row r="50" spans="1:9">
      <c r="A50">
        <v>49</v>
      </c>
      <c r="F50" t="str">
        <f t="shared" si="2"/>
        <v>EURDF6M49=.EONIA</v>
      </c>
      <c r="G50">
        <f>[1]!updatequotes(F50,$H$1:$I$1,H50:I50)</f>
        <v>0</v>
      </c>
      <c r="H50" s="7">
        <v>0.26739200000000002</v>
      </c>
      <c r="I50">
        <f t="shared" si="3"/>
        <v>0.26739200000000002</v>
      </c>
    </row>
    <row r="51" spans="1:9">
      <c r="A51">
        <v>50</v>
      </c>
      <c r="F51" t="str">
        <f t="shared" si="2"/>
        <v>EURDF6M50=.EONIA</v>
      </c>
      <c r="G51">
        <f>[1]!updatequotes(F51,$H$1:$I$1,H51:I51)</f>
        <v>0</v>
      </c>
      <c r="H51" s="5">
        <v>0.221942</v>
      </c>
      <c r="I51">
        <f t="shared" si="3"/>
        <v>0.221942</v>
      </c>
    </row>
    <row r="52" spans="1:9">
      <c r="A52">
        <v>51</v>
      </c>
    </row>
    <row r="53" spans="1:9">
      <c r="A53">
        <v>52</v>
      </c>
    </row>
    <row r="54" spans="1:9">
      <c r="A54">
        <v>53</v>
      </c>
    </row>
    <row r="55" spans="1:9">
      <c r="A55">
        <v>54</v>
      </c>
    </row>
    <row r="56" spans="1:9">
      <c r="A56">
        <v>55</v>
      </c>
    </row>
    <row r="57" spans="1:9">
      <c r="A57">
        <v>56</v>
      </c>
    </row>
    <row r="58" spans="1:9">
      <c r="A58">
        <v>57</v>
      </c>
    </row>
    <row r="59" spans="1:9">
      <c r="A59">
        <v>58</v>
      </c>
    </row>
    <row r="60" spans="1:9">
      <c r="A60">
        <v>59</v>
      </c>
    </row>
    <row r="61" spans="1:9">
      <c r="A61">
        <v>60</v>
      </c>
    </row>
    <row r="62" spans="1:9">
      <c r="A62">
        <v>61</v>
      </c>
    </row>
    <row r="63" spans="1:9">
      <c r="A63">
        <v>62</v>
      </c>
    </row>
    <row r="64" spans="1:9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1">
      <c r="A97">
        <v>96</v>
      </c>
    </row>
    <row r="98" spans="1:1">
      <c r="A98">
        <v>97</v>
      </c>
    </row>
    <row r="99" spans="1:1">
      <c r="A99">
        <v>98</v>
      </c>
    </row>
    <row r="100" spans="1:1">
      <c r="A100">
        <v>99</v>
      </c>
    </row>
    <row r="101" spans="1:1">
      <c r="A101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101"/>
  <sheetViews>
    <sheetView workbookViewId="0">
      <selection activeCell="I16" sqref="I16"/>
    </sheetView>
  </sheetViews>
  <sheetFormatPr defaultRowHeight="10.199999999999999"/>
  <cols>
    <col min="1" max="1" width="3.109375" style="8" bestFit="1" customWidth="1"/>
    <col min="2" max="2" width="13.33203125" style="8" bestFit="1" customWidth="1"/>
    <col min="3" max="3" width="6.21875" style="8" customWidth="1"/>
    <col min="4" max="5" width="7" style="8" bestFit="1" customWidth="1"/>
    <col min="6" max="6" width="13.109375" style="8" bestFit="1" customWidth="1"/>
    <col min="7" max="7" width="7.44140625" style="8" customWidth="1"/>
    <col min="8" max="9" width="7" style="8" bestFit="1" customWidth="1"/>
    <col min="10" max="10" width="13.109375" style="8" bestFit="1" customWidth="1"/>
    <col min="11" max="11" width="8.21875" style="8" customWidth="1"/>
    <col min="12" max="13" width="7" style="8" bestFit="1" customWidth="1"/>
    <col min="14" max="16384" width="8.88671875" style="8"/>
  </cols>
  <sheetData>
    <row r="1" spans="1:13">
      <c r="D1" s="8" t="s">
        <v>0</v>
      </c>
      <c r="E1" s="8" t="s">
        <v>0</v>
      </c>
      <c r="H1" s="8" t="s">
        <v>0</v>
      </c>
      <c r="I1" s="8" t="s">
        <v>0</v>
      </c>
      <c r="L1" s="8" t="s">
        <v>0</v>
      </c>
      <c r="M1" s="8" t="s">
        <v>0</v>
      </c>
    </row>
    <row r="2" spans="1:13">
      <c r="A2" s="8">
        <v>1</v>
      </c>
      <c r="B2" s="8" t="s">
        <v>1</v>
      </c>
      <c r="C2" s="8">
        <f>[1]!updatequotes(B2,$D$1:$E$1,D2:E2)</f>
        <v>0</v>
      </c>
      <c r="D2" s="8">
        <f ca="1">RANDBETWEEN(0,1000000)/1000000</f>
        <v>0.62024199999999996</v>
      </c>
      <c r="E2" s="8">
        <f ca="1">D2</f>
        <v>0.62024199999999996</v>
      </c>
      <c r="F2" s="8" t="s">
        <v>3</v>
      </c>
      <c r="G2" s="8">
        <f>[1]!updatequotes(F2,$H$1:$I$1,H2:I2)</f>
        <v>0</v>
      </c>
      <c r="H2" s="8">
        <f ca="1">RANDBETWEEN(0,1000000)/1000000</f>
        <v>2.5805999999999999E-2</v>
      </c>
      <c r="I2" s="8">
        <f ca="1">H2</f>
        <v>2.5805999999999999E-2</v>
      </c>
      <c r="J2" s="8" t="s">
        <v>5</v>
      </c>
      <c r="K2" s="8" t="s">
        <v>6</v>
      </c>
      <c r="L2" s="8">
        <f ca="1">RANDBETWEEN(0,1000000)/1000000</f>
        <v>0.903895</v>
      </c>
      <c r="M2" s="8">
        <f ca="1">L2</f>
        <v>0.903895</v>
      </c>
    </row>
    <row r="3" spans="1:13">
      <c r="A3" s="8">
        <v>2</v>
      </c>
      <c r="B3" s="8" t="s">
        <v>7</v>
      </c>
      <c r="C3" s="8">
        <f>[1]!updatequotes(B3,$D$1:$E$1,D3:E3)</f>
        <v>0</v>
      </c>
      <c r="D3" s="8">
        <f t="shared" ref="D3:D36" ca="1" si="0">RANDBETWEEN(0,1000000)/1000000</f>
        <v>0.76026899999999997</v>
      </c>
      <c r="E3" s="8">
        <f t="shared" ref="E3:E36" ca="1" si="1">D3</f>
        <v>0.76026899999999997</v>
      </c>
      <c r="F3" s="8" t="s">
        <v>8</v>
      </c>
      <c r="G3" s="8">
        <f>[1]!updatequotes(F3,$H$1:$I$1,H3:I3)</f>
        <v>0</v>
      </c>
      <c r="H3" s="8">
        <f t="shared" ref="H3:H51" ca="1" si="2">RANDBETWEEN(0,1000000)/1000000</f>
        <v>0.933589</v>
      </c>
      <c r="I3" s="8">
        <f t="shared" ref="I3:I51" ca="1" si="3">H3</f>
        <v>0.933589</v>
      </c>
      <c r="J3" s="8" t="s">
        <v>10</v>
      </c>
      <c r="K3" s="8" t="s">
        <v>11</v>
      </c>
      <c r="L3" s="8">
        <f t="shared" ref="L3:L41" ca="1" si="4">RANDBETWEEN(0,1000000)/1000000</f>
        <v>0.106782</v>
      </c>
      <c r="M3" s="8">
        <f t="shared" ref="M3:M41" ca="1" si="5">L3</f>
        <v>0.106782</v>
      </c>
    </row>
    <row r="4" spans="1:13">
      <c r="A4" s="8">
        <v>3</v>
      </c>
      <c r="B4" s="8" t="s">
        <v>12</v>
      </c>
      <c r="C4" s="8">
        <f>[1]!updatequotes(B4,$D$1:$E$1,D4:E4)</f>
        <v>0</v>
      </c>
      <c r="D4" s="8">
        <f t="shared" ca="1" si="0"/>
        <v>0.361929</v>
      </c>
      <c r="E4" s="8">
        <f t="shared" ca="1" si="1"/>
        <v>0.361929</v>
      </c>
      <c r="F4" s="8" t="s">
        <v>13</v>
      </c>
      <c r="G4" s="8">
        <f>[1]!updatequotes(F4,$H$1:$I$1,H4:I4)</f>
        <v>0</v>
      </c>
      <c r="H4" s="8">
        <f t="shared" ca="1" si="2"/>
        <v>0.90339199999999997</v>
      </c>
      <c r="I4" s="8">
        <f t="shared" ca="1" si="3"/>
        <v>0.90339199999999997</v>
      </c>
      <c r="J4" s="8" t="s">
        <v>14</v>
      </c>
      <c r="K4" s="8" t="s">
        <v>9</v>
      </c>
      <c r="L4" s="8">
        <f t="shared" ca="1" si="4"/>
        <v>0.60764399999999996</v>
      </c>
      <c r="M4" s="8">
        <f t="shared" ca="1" si="5"/>
        <v>0.60764399999999996</v>
      </c>
    </row>
    <row r="5" spans="1:13">
      <c r="A5" s="8">
        <v>4</v>
      </c>
      <c r="B5" s="8" t="s">
        <v>15</v>
      </c>
      <c r="C5" s="8">
        <f>[1]!updatequotes(B5,$D$1:$E$1,D5:E5)</f>
        <v>0</v>
      </c>
      <c r="D5" s="8">
        <f t="shared" ca="1" si="0"/>
        <v>0.78679600000000005</v>
      </c>
      <c r="E5" s="8">
        <f t="shared" ca="1" si="1"/>
        <v>0.78679600000000005</v>
      </c>
      <c r="F5" s="8" t="s">
        <v>17</v>
      </c>
      <c r="G5" s="8">
        <f>[1]!updatequotes(F5,$H$1:$I$1,H5:I5)</f>
        <v>0</v>
      </c>
      <c r="H5" s="8">
        <f t="shared" ca="1" si="2"/>
        <v>0.22028900000000001</v>
      </c>
      <c r="I5" s="8">
        <f t="shared" ca="1" si="3"/>
        <v>0.22028900000000001</v>
      </c>
      <c r="J5" s="8" t="s">
        <v>19</v>
      </c>
      <c r="K5" s="8" t="s">
        <v>20</v>
      </c>
      <c r="L5" s="8">
        <f t="shared" ca="1" si="4"/>
        <v>0.16169500000000001</v>
      </c>
      <c r="M5" s="8">
        <f t="shared" ca="1" si="5"/>
        <v>0.16169500000000001</v>
      </c>
    </row>
    <row r="6" spans="1:13">
      <c r="A6" s="8">
        <v>5</v>
      </c>
      <c r="B6" s="8" t="s">
        <v>21</v>
      </c>
      <c r="C6" s="8">
        <f>[1]!updatequotes(B6,$D$1:$E$1,D6:E6)</f>
        <v>0</v>
      </c>
      <c r="D6" s="8">
        <f t="shared" ca="1" si="0"/>
        <v>0.17271600000000001</v>
      </c>
      <c r="E6" s="8">
        <f t="shared" ca="1" si="1"/>
        <v>0.17271600000000001</v>
      </c>
      <c r="F6" s="8" t="s">
        <v>23</v>
      </c>
      <c r="G6" s="8">
        <f>[1]!updatequotes(F6,$H$1:$I$1,H6:I6)</f>
        <v>0</v>
      </c>
      <c r="H6" s="8">
        <f t="shared" ca="1" si="2"/>
        <v>0.70011599999999996</v>
      </c>
      <c r="I6" s="8">
        <f t="shared" ca="1" si="3"/>
        <v>0.70011599999999996</v>
      </c>
      <c r="J6" s="8" t="s">
        <v>25</v>
      </c>
      <c r="K6" s="8" t="s">
        <v>26</v>
      </c>
      <c r="L6" s="8">
        <f t="shared" ca="1" si="4"/>
        <v>0.10362</v>
      </c>
      <c r="M6" s="8">
        <f t="shared" ca="1" si="5"/>
        <v>0.10362</v>
      </c>
    </row>
    <row r="7" spans="1:13">
      <c r="A7" s="8">
        <v>6</v>
      </c>
      <c r="B7" s="8" t="s">
        <v>27</v>
      </c>
      <c r="C7" s="8">
        <f>[1]!updatequotes(B7,$D$1:$E$1,D7:E7)</f>
        <v>0</v>
      </c>
      <c r="D7" s="8">
        <f t="shared" ca="1" si="0"/>
        <v>0.78612400000000004</v>
      </c>
      <c r="E7" s="8">
        <f t="shared" ca="1" si="1"/>
        <v>0.78612400000000004</v>
      </c>
      <c r="F7" s="8" t="s">
        <v>28</v>
      </c>
      <c r="G7" s="8">
        <f>[1]!updatequotes(F7,$H$1:$I$1,H7:I7)</f>
        <v>0</v>
      </c>
      <c r="H7" s="8">
        <f t="shared" ca="1" si="2"/>
        <v>0.99804000000000004</v>
      </c>
      <c r="I7" s="8">
        <f t="shared" ca="1" si="3"/>
        <v>0.99804000000000004</v>
      </c>
      <c r="J7" s="8" t="s">
        <v>29</v>
      </c>
      <c r="K7" s="8" t="s">
        <v>22</v>
      </c>
      <c r="L7" s="8">
        <f t="shared" ca="1" si="4"/>
        <v>0.90506600000000004</v>
      </c>
      <c r="M7" s="8">
        <f t="shared" ca="1" si="5"/>
        <v>0.90506600000000004</v>
      </c>
    </row>
    <row r="8" spans="1:13">
      <c r="A8" s="8">
        <v>7</v>
      </c>
      <c r="B8" s="8" t="s">
        <v>30</v>
      </c>
      <c r="C8" s="8">
        <f>[1]!updatequotes(B8,$D$1:$E$1,D8:E8)</f>
        <v>0</v>
      </c>
      <c r="D8" s="8">
        <f t="shared" ca="1" si="0"/>
        <v>0.82603899999999997</v>
      </c>
      <c r="E8" s="8">
        <f t="shared" ca="1" si="1"/>
        <v>0.82603899999999997</v>
      </c>
      <c r="F8" s="8" t="s">
        <v>32</v>
      </c>
      <c r="G8" s="8">
        <f>[1]!updatequotes(F8,$H$1:$I$1,H8:I8)</f>
        <v>0</v>
      </c>
      <c r="H8" s="8">
        <f t="shared" ca="1" si="2"/>
        <v>0.42444799999999999</v>
      </c>
      <c r="I8" s="8">
        <f t="shared" ca="1" si="3"/>
        <v>0.42444799999999999</v>
      </c>
      <c r="J8" s="8" t="s">
        <v>34</v>
      </c>
      <c r="K8" s="8" t="s">
        <v>35</v>
      </c>
      <c r="L8" s="8">
        <f t="shared" ca="1" si="4"/>
        <v>2.5984E-2</v>
      </c>
      <c r="M8" s="8">
        <f t="shared" ca="1" si="5"/>
        <v>2.5984E-2</v>
      </c>
    </row>
    <row r="9" spans="1:13">
      <c r="A9" s="8">
        <v>8</v>
      </c>
      <c r="B9" s="8" t="s">
        <v>36</v>
      </c>
      <c r="C9" s="8">
        <f>[1]!updatequotes(B9,$D$1:$E$1,D9:E9)</f>
        <v>0</v>
      </c>
      <c r="D9" s="8">
        <f t="shared" ca="1" si="0"/>
        <v>0.39775300000000002</v>
      </c>
      <c r="E9" s="8">
        <f t="shared" ca="1" si="1"/>
        <v>0.39775300000000002</v>
      </c>
      <c r="F9" s="8" t="s">
        <v>38</v>
      </c>
      <c r="G9" s="8">
        <f>[1]!updatequotes(F9,$H$1:$I$1,H9:I9)</f>
        <v>0</v>
      </c>
      <c r="H9" s="8">
        <f t="shared" ca="1" si="2"/>
        <v>0.224769</v>
      </c>
      <c r="I9" s="8">
        <f t="shared" ca="1" si="3"/>
        <v>0.224769</v>
      </c>
      <c r="J9" s="8" t="s">
        <v>39</v>
      </c>
      <c r="K9" s="8" t="s">
        <v>40</v>
      </c>
      <c r="L9" s="8">
        <f t="shared" ca="1" si="4"/>
        <v>0.28533999999999998</v>
      </c>
      <c r="M9" s="8">
        <f t="shared" ca="1" si="5"/>
        <v>0.28533999999999998</v>
      </c>
    </row>
    <row r="10" spans="1:13">
      <c r="A10" s="8">
        <v>9</v>
      </c>
      <c r="B10" s="8" t="s">
        <v>41</v>
      </c>
      <c r="C10" s="8">
        <f>[1]!updatequotes(B10,$D$1:$E$1,D10:E10)</f>
        <v>0</v>
      </c>
      <c r="D10" s="8">
        <f t="shared" ca="1" si="0"/>
        <v>0.26933800000000002</v>
      </c>
      <c r="E10" s="8">
        <f t="shared" ca="1" si="1"/>
        <v>0.26933800000000002</v>
      </c>
      <c r="F10" s="8" t="s">
        <v>43</v>
      </c>
      <c r="G10" s="8">
        <f>[1]!updatequotes(F10,$H$1:$I$1,H10:I10)</f>
        <v>0</v>
      </c>
      <c r="H10" s="8">
        <f t="shared" ca="1" si="2"/>
        <v>5.1219999999999998E-3</v>
      </c>
      <c r="I10" s="8">
        <f t="shared" ca="1" si="3"/>
        <v>5.1219999999999998E-3</v>
      </c>
      <c r="J10" s="8" t="s">
        <v>44</v>
      </c>
      <c r="K10" s="8" t="s">
        <v>45</v>
      </c>
      <c r="L10" s="8">
        <f t="shared" ca="1" si="4"/>
        <v>0.771621</v>
      </c>
      <c r="M10" s="8">
        <f t="shared" ca="1" si="5"/>
        <v>0.771621</v>
      </c>
    </row>
    <row r="11" spans="1:13">
      <c r="A11" s="8">
        <v>10</v>
      </c>
      <c r="B11" s="8" t="s">
        <v>46</v>
      </c>
      <c r="C11" s="8">
        <f>[1]!updatequotes(B11,$D$1:$E$1,D11:E11)</f>
        <v>0</v>
      </c>
      <c r="D11" s="8">
        <f t="shared" ca="1" si="0"/>
        <v>0.96476899999999999</v>
      </c>
      <c r="E11" s="8">
        <f t="shared" ca="1" si="1"/>
        <v>0.96476899999999999</v>
      </c>
      <c r="F11" s="8" t="s">
        <v>47</v>
      </c>
      <c r="G11" s="8">
        <f>[1]!updatequotes(F11,$H$1:$I$1,H11:I11)</f>
        <v>0</v>
      </c>
      <c r="H11" s="8">
        <f t="shared" ca="1" si="2"/>
        <v>0.31840099999999999</v>
      </c>
      <c r="I11" s="8">
        <f t="shared" ca="1" si="3"/>
        <v>0.31840099999999999</v>
      </c>
      <c r="J11" s="8" t="s">
        <v>48</v>
      </c>
      <c r="K11" s="8" t="s">
        <v>24</v>
      </c>
      <c r="L11" s="8">
        <f t="shared" ca="1" si="4"/>
        <v>0.75564299999999995</v>
      </c>
      <c r="M11" s="8">
        <f t="shared" ca="1" si="5"/>
        <v>0.75564299999999995</v>
      </c>
    </row>
    <row r="12" spans="1:13">
      <c r="A12" s="8">
        <v>11</v>
      </c>
      <c r="B12" s="8" t="s">
        <v>49</v>
      </c>
      <c r="C12" s="8">
        <f>[1]!updatequotes(B12,$D$1:$E$1,D12:E12)</f>
        <v>0</v>
      </c>
      <c r="D12" s="8">
        <f t="shared" ca="1" si="0"/>
        <v>0.21804499999999999</v>
      </c>
      <c r="E12" s="8">
        <f t="shared" ca="1" si="1"/>
        <v>0.21804499999999999</v>
      </c>
      <c r="F12" s="8" t="s">
        <v>50</v>
      </c>
      <c r="G12" s="8">
        <f>[1]!updatequotes(F12,$H$1:$I$1,H12:I12)</f>
        <v>0</v>
      </c>
      <c r="H12" s="8">
        <f t="shared" ca="1" si="2"/>
        <v>0.30064000000000002</v>
      </c>
      <c r="I12" s="8">
        <f t="shared" ca="1" si="3"/>
        <v>0.30064000000000002</v>
      </c>
      <c r="J12" s="8" t="s">
        <v>51</v>
      </c>
      <c r="K12" s="8" t="s">
        <v>18</v>
      </c>
      <c r="L12" s="8">
        <f t="shared" ca="1" si="4"/>
        <v>0.111787</v>
      </c>
      <c r="M12" s="8">
        <f t="shared" ca="1" si="5"/>
        <v>0.111787</v>
      </c>
    </row>
    <row r="13" spans="1:13">
      <c r="A13" s="8">
        <v>12</v>
      </c>
      <c r="B13" s="8" t="s">
        <v>52</v>
      </c>
      <c r="C13" s="8">
        <f>[1]!updatequotes(B13,$D$1:$E$1,D13:E13)</f>
        <v>0</v>
      </c>
      <c r="D13" s="8">
        <f t="shared" ca="1" si="0"/>
        <v>0.118382</v>
      </c>
      <c r="E13" s="8">
        <f t="shared" ca="1" si="1"/>
        <v>0.118382</v>
      </c>
      <c r="F13" s="8" t="s">
        <v>53</v>
      </c>
      <c r="G13" s="8">
        <f>[1]!updatequotes(F13,$H$1:$I$1,H13:I13)</f>
        <v>0</v>
      </c>
      <c r="H13" s="8">
        <f t="shared" ca="1" si="2"/>
        <v>0.71872199999999997</v>
      </c>
      <c r="I13" s="8">
        <f t="shared" ca="1" si="3"/>
        <v>0.71872199999999997</v>
      </c>
      <c r="J13" s="8" t="s">
        <v>55</v>
      </c>
      <c r="K13" s="8" t="s">
        <v>56</v>
      </c>
      <c r="L13" s="8">
        <f t="shared" ca="1" si="4"/>
        <v>0.32737300000000003</v>
      </c>
      <c r="M13" s="8">
        <f t="shared" ca="1" si="5"/>
        <v>0.32737300000000003</v>
      </c>
    </row>
    <row r="14" spans="1:13">
      <c r="A14" s="8">
        <v>13</v>
      </c>
      <c r="B14" s="8" t="s">
        <v>57</v>
      </c>
      <c r="C14" s="8">
        <f>[1]!updatequotes(B14,$D$1:$E$1,D14:E14)</f>
        <v>0</v>
      </c>
      <c r="D14" s="8">
        <f t="shared" ca="1" si="0"/>
        <v>0.69400200000000001</v>
      </c>
      <c r="E14" s="8">
        <f t="shared" ca="1" si="1"/>
        <v>0.69400200000000001</v>
      </c>
      <c r="F14" s="8" t="s">
        <v>58</v>
      </c>
      <c r="G14" s="8">
        <f>[1]!updatequotes(F14,$H$1:$I$1,H14:I14)</f>
        <v>0</v>
      </c>
      <c r="H14" s="8">
        <f t="shared" ca="1" si="2"/>
        <v>0.89816399999999996</v>
      </c>
      <c r="I14" s="8">
        <f t="shared" ca="1" si="3"/>
        <v>0.89816399999999996</v>
      </c>
      <c r="J14" s="8" t="s">
        <v>59</v>
      </c>
      <c r="K14" s="8" t="s">
        <v>24</v>
      </c>
      <c r="L14" s="8">
        <f t="shared" ca="1" si="4"/>
        <v>0.17394899999999999</v>
      </c>
      <c r="M14" s="8">
        <f t="shared" ca="1" si="5"/>
        <v>0.17394899999999999</v>
      </c>
    </row>
    <row r="15" spans="1:13">
      <c r="A15" s="8">
        <v>14</v>
      </c>
      <c r="B15" s="8" t="s">
        <v>60</v>
      </c>
      <c r="C15" s="8">
        <f>[1]!updatequotes(B15,$D$1:$E$1,D15:E15)</f>
        <v>0</v>
      </c>
      <c r="D15" s="8">
        <f t="shared" ca="1" si="0"/>
        <v>0.971638</v>
      </c>
      <c r="E15" s="8">
        <f t="shared" ca="1" si="1"/>
        <v>0.971638</v>
      </c>
      <c r="F15" s="8" t="s">
        <v>61</v>
      </c>
      <c r="G15" s="8">
        <f>[1]!updatequotes(F15,$H$1:$I$1,H15:I15)</f>
        <v>0</v>
      </c>
      <c r="H15" s="8">
        <f t="shared" ca="1" si="2"/>
        <v>0.71839600000000003</v>
      </c>
      <c r="I15" s="8">
        <f t="shared" ca="1" si="3"/>
        <v>0.71839600000000003</v>
      </c>
      <c r="J15" s="8" t="s">
        <v>62</v>
      </c>
      <c r="K15" s="8" t="s">
        <v>20</v>
      </c>
      <c r="L15" s="8">
        <f t="shared" ca="1" si="4"/>
        <v>0.72879099999999997</v>
      </c>
      <c r="M15" s="8">
        <f t="shared" ca="1" si="5"/>
        <v>0.72879099999999997</v>
      </c>
    </row>
    <row r="16" spans="1:13">
      <c r="A16" s="8">
        <v>15</v>
      </c>
      <c r="B16" s="8" t="s">
        <v>63</v>
      </c>
      <c r="C16" s="8">
        <f>[1]!updatequotes(B16,$D$1:$E$1,D16:E16)</f>
        <v>0</v>
      </c>
      <c r="D16" s="8">
        <f t="shared" ca="1" si="0"/>
        <v>0.70566399999999996</v>
      </c>
      <c r="E16" s="8">
        <f t="shared" ca="1" si="1"/>
        <v>0.70566399999999996</v>
      </c>
      <c r="F16" s="8" t="s">
        <v>64</v>
      </c>
      <c r="G16" s="8">
        <f>[1]!updatequotes(F16,$H$1:$I$1,H16:I16)</f>
        <v>0</v>
      </c>
      <c r="H16" s="8">
        <f t="shared" ca="1" si="2"/>
        <v>0.73734</v>
      </c>
      <c r="I16" s="8">
        <f t="shared" ca="1" si="3"/>
        <v>0.73734</v>
      </c>
      <c r="J16" s="8" t="s">
        <v>65</v>
      </c>
      <c r="K16" s="8" t="s">
        <v>2</v>
      </c>
      <c r="L16" s="8">
        <f t="shared" ca="1" si="4"/>
        <v>0.66083599999999998</v>
      </c>
      <c r="M16" s="8">
        <f t="shared" ca="1" si="5"/>
        <v>0.66083599999999998</v>
      </c>
    </row>
    <row r="17" spans="1:13">
      <c r="A17" s="8">
        <v>16</v>
      </c>
      <c r="B17" s="8" t="s">
        <v>66</v>
      </c>
      <c r="C17" s="8">
        <f>[1]!updatequotes(B17,$D$1:$E$1,D17:E17)</f>
        <v>0</v>
      </c>
      <c r="D17" s="8">
        <f t="shared" ca="1" si="0"/>
        <v>0.55035400000000001</v>
      </c>
      <c r="E17" s="8">
        <f t="shared" ca="1" si="1"/>
        <v>0.55035400000000001</v>
      </c>
      <c r="F17" s="8" t="s">
        <v>67</v>
      </c>
      <c r="G17" s="8">
        <f>[1]!updatequotes(F17,$H$1:$I$1,H17:I17)</f>
        <v>0</v>
      </c>
      <c r="H17" s="8">
        <f t="shared" ca="1" si="2"/>
        <v>0.99482400000000004</v>
      </c>
      <c r="I17" s="8">
        <f t="shared" ca="1" si="3"/>
        <v>0.99482400000000004</v>
      </c>
      <c r="J17" s="8" t="s">
        <v>68</v>
      </c>
      <c r="K17" s="8" t="s">
        <v>69</v>
      </c>
      <c r="L17" s="8">
        <f t="shared" ca="1" si="4"/>
        <v>0.48355300000000001</v>
      </c>
      <c r="M17" s="8">
        <f t="shared" ca="1" si="5"/>
        <v>0.48355300000000001</v>
      </c>
    </row>
    <row r="18" spans="1:13">
      <c r="A18" s="8">
        <v>17</v>
      </c>
      <c r="B18" s="8" t="s">
        <v>70</v>
      </c>
      <c r="C18" s="8">
        <f>[1]!updatequotes(B18,$D$1:$E$1,D18:E18)</f>
        <v>0</v>
      </c>
      <c r="D18" s="8">
        <f t="shared" ca="1" si="0"/>
        <v>0.86201399999999995</v>
      </c>
      <c r="E18" s="8">
        <f t="shared" ca="1" si="1"/>
        <v>0.86201399999999995</v>
      </c>
      <c r="F18" s="8" t="s">
        <v>71</v>
      </c>
      <c r="G18" s="8">
        <f>[1]!updatequotes(F18,$H$1:$I$1,H18:I18)</f>
        <v>0</v>
      </c>
      <c r="H18" s="8">
        <f t="shared" ca="1" si="2"/>
        <v>0.455513</v>
      </c>
      <c r="I18" s="8">
        <f t="shared" ca="1" si="3"/>
        <v>0.455513</v>
      </c>
      <c r="J18" s="8" t="s">
        <v>72</v>
      </c>
      <c r="K18" s="8" t="s">
        <v>73</v>
      </c>
      <c r="L18" s="8">
        <f t="shared" ca="1" si="4"/>
        <v>0.48380200000000001</v>
      </c>
      <c r="M18" s="8">
        <f t="shared" ca="1" si="5"/>
        <v>0.48380200000000001</v>
      </c>
    </row>
    <row r="19" spans="1:13">
      <c r="A19" s="8">
        <v>18</v>
      </c>
      <c r="B19" s="8" t="s">
        <v>74</v>
      </c>
      <c r="C19" s="8">
        <f>[1]!updatequotes(B19,$D$1:$E$1,D19:E19)</f>
        <v>0</v>
      </c>
      <c r="D19" s="8">
        <f t="shared" ca="1" si="0"/>
        <v>0.51266599999999996</v>
      </c>
      <c r="E19" s="8">
        <f t="shared" ca="1" si="1"/>
        <v>0.51266599999999996</v>
      </c>
      <c r="F19" s="8" t="s">
        <v>76</v>
      </c>
      <c r="G19" s="8">
        <f>[1]!updatequotes(F19,$H$1:$I$1,H19:I19)</f>
        <v>0</v>
      </c>
      <c r="H19" s="8">
        <f t="shared" ca="1" si="2"/>
        <v>0.38613999999999998</v>
      </c>
      <c r="I19" s="8">
        <f t="shared" ca="1" si="3"/>
        <v>0.38613999999999998</v>
      </c>
      <c r="J19" s="8" t="s">
        <v>77</v>
      </c>
      <c r="K19" s="8" t="s">
        <v>26</v>
      </c>
      <c r="L19" s="8">
        <f t="shared" ca="1" si="4"/>
        <v>0.39130199999999998</v>
      </c>
      <c r="M19" s="8">
        <f t="shared" ca="1" si="5"/>
        <v>0.39130199999999998</v>
      </c>
    </row>
    <row r="20" spans="1:13">
      <c r="A20" s="8">
        <v>19</v>
      </c>
      <c r="B20" s="8" t="s">
        <v>78</v>
      </c>
      <c r="C20" s="8">
        <f>[1]!updatequotes(B20,$D$1:$E$1,D20:E20)</f>
        <v>0</v>
      </c>
      <c r="D20" s="8">
        <f t="shared" ca="1" si="0"/>
        <v>0.55121299999999995</v>
      </c>
      <c r="E20" s="8">
        <f t="shared" ca="1" si="1"/>
        <v>0.55121299999999995</v>
      </c>
      <c r="F20" s="8" t="s">
        <v>79</v>
      </c>
      <c r="G20" s="8">
        <f>[1]!updatequotes(F20,$H$1:$I$1,H20:I20)</f>
        <v>0</v>
      </c>
      <c r="H20" s="8">
        <f t="shared" ca="1" si="2"/>
        <v>0.208593</v>
      </c>
      <c r="I20" s="8">
        <f t="shared" ca="1" si="3"/>
        <v>0.208593</v>
      </c>
      <c r="J20" s="8" t="s">
        <v>80</v>
      </c>
      <c r="K20" s="8" t="s">
        <v>18</v>
      </c>
      <c r="L20" s="8">
        <f t="shared" ca="1" si="4"/>
        <v>0.56667100000000004</v>
      </c>
      <c r="M20" s="8">
        <f t="shared" ca="1" si="5"/>
        <v>0.56667100000000004</v>
      </c>
    </row>
    <row r="21" spans="1:13">
      <c r="A21" s="8">
        <v>20</v>
      </c>
      <c r="B21" s="8" t="s">
        <v>81</v>
      </c>
      <c r="C21" s="8">
        <f>[1]!updatequotes(B21,$D$1:$E$1,D21:E21)</f>
        <v>0</v>
      </c>
      <c r="D21" s="8">
        <f t="shared" ca="1" si="0"/>
        <v>1.0952E-2</v>
      </c>
      <c r="E21" s="8">
        <f t="shared" ca="1" si="1"/>
        <v>1.0952E-2</v>
      </c>
      <c r="F21" s="8" t="s">
        <v>82</v>
      </c>
      <c r="G21" s="8">
        <f>[1]!updatequotes(F21,$H$1:$I$1,H21:I21)</f>
        <v>0</v>
      </c>
      <c r="H21" s="8">
        <f t="shared" ca="1" si="2"/>
        <v>0.15476699999999999</v>
      </c>
      <c r="I21" s="8">
        <f t="shared" ca="1" si="3"/>
        <v>0.15476699999999999</v>
      </c>
      <c r="J21" s="8" t="s">
        <v>83</v>
      </c>
      <c r="K21" s="8" t="s">
        <v>42</v>
      </c>
      <c r="L21" s="8">
        <f t="shared" ca="1" si="4"/>
        <v>0.720947</v>
      </c>
      <c r="M21" s="8">
        <f t="shared" ca="1" si="5"/>
        <v>0.720947</v>
      </c>
    </row>
    <row r="22" spans="1:13">
      <c r="A22" s="8">
        <v>21</v>
      </c>
      <c r="B22" s="8" t="s">
        <v>84</v>
      </c>
      <c r="C22" s="8">
        <f>[1]!updatequotes(B22,$D$1:$E$1,D22:E22)</f>
        <v>0</v>
      </c>
      <c r="D22" s="8">
        <f t="shared" ca="1" si="0"/>
        <v>0.99062499999999998</v>
      </c>
      <c r="E22" s="8">
        <f t="shared" ca="1" si="1"/>
        <v>0.99062499999999998</v>
      </c>
      <c r="F22" s="8" t="s">
        <v>85</v>
      </c>
      <c r="G22" s="8">
        <f>[1]!updatequotes(F22,$H$1:$I$1,H22:I22)</f>
        <v>0</v>
      </c>
      <c r="H22" s="8">
        <f t="shared" ca="1" si="2"/>
        <v>0.87500299999999998</v>
      </c>
      <c r="I22" s="8">
        <f t="shared" ca="1" si="3"/>
        <v>0.87500299999999998</v>
      </c>
      <c r="J22" s="8" t="s">
        <v>86</v>
      </c>
      <c r="K22" s="8" t="s">
        <v>87</v>
      </c>
      <c r="L22" s="8">
        <f t="shared" ca="1" si="4"/>
        <v>0.98970599999999997</v>
      </c>
      <c r="M22" s="8">
        <f t="shared" ca="1" si="5"/>
        <v>0.98970599999999997</v>
      </c>
    </row>
    <row r="23" spans="1:13">
      <c r="A23" s="8">
        <v>22</v>
      </c>
      <c r="B23" s="8" t="s">
        <v>88</v>
      </c>
      <c r="C23" s="8">
        <f>[1]!updatequotes(B23,$D$1:$E$1,D23:E23)</f>
        <v>0</v>
      </c>
      <c r="D23" s="8">
        <f t="shared" ca="1" si="0"/>
        <v>0.736375</v>
      </c>
      <c r="E23" s="8">
        <f t="shared" ca="1" si="1"/>
        <v>0.736375</v>
      </c>
      <c r="F23" s="8" t="s">
        <v>89</v>
      </c>
      <c r="G23" s="8">
        <f>[1]!updatequotes(F23,$H$1:$I$1,H23:I23)</f>
        <v>0</v>
      </c>
      <c r="H23" s="8">
        <f t="shared" ca="1" si="2"/>
        <v>0.82505700000000004</v>
      </c>
      <c r="I23" s="8">
        <f t="shared" ca="1" si="3"/>
        <v>0.82505700000000004</v>
      </c>
      <c r="J23" s="8" t="s">
        <v>90</v>
      </c>
      <c r="K23" s="8" t="s">
        <v>91</v>
      </c>
      <c r="L23" s="8">
        <f t="shared" ca="1" si="4"/>
        <v>0.36185200000000001</v>
      </c>
      <c r="M23" s="8">
        <f t="shared" ca="1" si="5"/>
        <v>0.36185200000000001</v>
      </c>
    </row>
    <row r="24" spans="1:13">
      <c r="A24" s="8">
        <v>23</v>
      </c>
      <c r="B24" s="8" t="s">
        <v>92</v>
      </c>
      <c r="C24" s="8">
        <f>[1]!updatequotes(B24,$D$1:$E$1,D24:E24)</f>
        <v>0</v>
      </c>
      <c r="D24" s="8">
        <f t="shared" ca="1" si="0"/>
        <v>0.640324</v>
      </c>
      <c r="E24" s="8">
        <f t="shared" ca="1" si="1"/>
        <v>0.640324</v>
      </c>
      <c r="F24" s="8" t="s">
        <v>93</v>
      </c>
      <c r="G24" s="8">
        <f>[1]!updatequotes(F24,$H$1:$I$1,H24:I24)</f>
        <v>0</v>
      </c>
      <c r="H24" s="8">
        <f t="shared" ca="1" si="2"/>
        <v>0.98141299999999998</v>
      </c>
      <c r="I24" s="8">
        <f t="shared" ca="1" si="3"/>
        <v>0.98141299999999998</v>
      </c>
      <c r="J24" s="8" t="s">
        <v>94</v>
      </c>
      <c r="K24" s="8" t="s">
        <v>33</v>
      </c>
      <c r="L24" s="8">
        <f t="shared" ca="1" si="4"/>
        <v>0.118227</v>
      </c>
      <c r="M24" s="8">
        <f t="shared" ca="1" si="5"/>
        <v>0.118227</v>
      </c>
    </row>
    <row r="25" spans="1:13">
      <c r="A25" s="8">
        <v>24</v>
      </c>
      <c r="B25" s="8" t="s">
        <v>95</v>
      </c>
      <c r="C25" s="8">
        <f>[1]!updatequotes(B25,$D$1:$E$1,D25:E25)</f>
        <v>0</v>
      </c>
      <c r="D25" s="8">
        <f t="shared" ca="1" si="0"/>
        <v>0.76158700000000001</v>
      </c>
      <c r="E25" s="8">
        <f t="shared" ca="1" si="1"/>
        <v>0.76158700000000001</v>
      </c>
      <c r="F25" s="8" t="s">
        <v>96</v>
      </c>
      <c r="G25" s="8">
        <f>[1]!updatequotes(F25,$H$1:$I$1,H25:I25)</f>
        <v>0</v>
      </c>
      <c r="H25" s="8">
        <f t="shared" ca="1" si="2"/>
        <v>0.901223</v>
      </c>
      <c r="I25" s="8">
        <f t="shared" ca="1" si="3"/>
        <v>0.901223</v>
      </c>
      <c r="J25" s="8" t="s">
        <v>97</v>
      </c>
      <c r="K25" s="8" t="s">
        <v>69</v>
      </c>
      <c r="L25" s="8">
        <f t="shared" ca="1" si="4"/>
        <v>0.703762</v>
      </c>
      <c r="M25" s="8">
        <f t="shared" ca="1" si="5"/>
        <v>0.703762</v>
      </c>
    </row>
    <row r="26" spans="1:13">
      <c r="A26" s="8">
        <v>25</v>
      </c>
      <c r="B26" s="8" t="s">
        <v>98</v>
      </c>
      <c r="C26" s="8">
        <f>[1]!updatequotes(B26,$D$1:$E$1,D26:E26)</f>
        <v>0</v>
      </c>
      <c r="D26" s="8">
        <f t="shared" ca="1" si="0"/>
        <v>0.66657200000000005</v>
      </c>
      <c r="E26" s="8">
        <f t="shared" ca="1" si="1"/>
        <v>0.66657200000000005</v>
      </c>
      <c r="F26" s="8" t="s">
        <v>99</v>
      </c>
      <c r="G26" s="8">
        <f>[1]!updatequotes(F26,$H$1:$I$1,H26:I26)</f>
        <v>0</v>
      </c>
      <c r="H26" s="8">
        <f t="shared" ca="1" si="2"/>
        <v>0.49982100000000002</v>
      </c>
      <c r="I26" s="8">
        <f t="shared" ca="1" si="3"/>
        <v>0.49982100000000002</v>
      </c>
      <c r="J26" s="8" t="s">
        <v>100</v>
      </c>
      <c r="K26" s="8" t="s">
        <v>31</v>
      </c>
      <c r="L26" s="8">
        <f t="shared" ca="1" si="4"/>
        <v>0.24877199999999999</v>
      </c>
      <c r="M26" s="8">
        <f t="shared" ca="1" si="5"/>
        <v>0.24877199999999999</v>
      </c>
    </row>
    <row r="27" spans="1:13">
      <c r="A27" s="8">
        <v>26</v>
      </c>
      <c r="B27" s="8" t="s">
        <v>101</v>
      </c>
      <c r="C27" s="8">
        <f>[1]!updatequotes(B27,$D$1:$E$1,D27:E27)</f>
        <v>0</v>
      </c>
      <c r="D27" s="8">
        <f t="shared" ca="1" si="0"/>
        <v>0.178512</v>
      </c>
      <c r="E27" s="8">
        <f t="shared" ca="1" si="1"/>
        <v>0.178512</v>
      </c>
      <c r="F27" s="8" t="s">
        <v>102</v>
      </c>
      <c r="G27" s="8">
        <f>[1]!updatequotes(F27,$H$1:$I$1,H27:I27)</f>
        <v>0</v>
      </c>
      <c r="H27" s="8">
        <f t="shared" ca="1" si="2"/>
        <v>0.27579799999999999</v>
      </c>
      <c r="I27" s="8">
        <f t="shared" ca="1" si="3"/>
        <v>0.27579799999999999</v>
      </c>
      <c r="J27" s="8" t="s">
        <v>103</v>
      </c>
      <c r="K27" s="8" t="s">
        <v>4</v>
      </c>
      <c r="L27" s="8">
        <f t="shared" ca="1" si="4"/>
        <v>0.88698399999999999</v>
      </c>
      <c r="M27" s="8">
        <f t="shared" ca="1" si="5"/>
        <v>0.88698399999999999</v>
      </c>
    </row>
    <row r="28" spans="1:13">
      <c r="A28" s="8">
        <v>27</v>
      </c>
      <c r="B28" s="8" t="s">
        <v>104</v>
      </c>
      <c r="C28" s="8">
        <f>[1]!updatequotes(B28,$D$1:$E$1,D28:E28)</f>
        <v>0</v>
      </c>
      <c r="D28" s="8">
        <f t="shared" ca="1" si="0"/>
        <v>0.17027300000000001</v>
      </c>
      <c r="E28" s="8">
        <f t="shared" ca="1" si="1"/>
        <v>0.17027300000000001</v>
      </c>
      <c r="F28" s="8" t="s">
        <v>105</v>
      </c>
      <c r="G28" s="8">
        <f>[1]!updatequotes(F28,$H$1:$I$1,H28:I28)</f>
        <v>0</v>
      </c>
      <c r="H28" s="8">
        <f t="shared" ca="1" si="2"/>
        <v>0.26746599999999998</v>
      </c>
      <c r="I28" s="8">
        <f t="shared" ca="1" si="3"/>
        <v>0.26746599999999998</v>
      </c>
      <c r="J28" s="8" t="s">
        <v>106</v>
      </c>
      <c r="K28" s="8" t="s">
        <v>107</v>
      </c>
      <c r="L28" s="8">
        <f t="shared" ca="1" si="4"/>
        <v>0.49762200000000001</v>
      </c>
      <c r="M28" s="8">
        <f t="shared" ca="1" si="5"/>
        <v>0.49762200000000001</v>
      </c>
    </row>
    <row r="29" spans="1:13">
      <c r="A29" s="8">
        <v>28</v>
      </c>
      <c r="B29" s="8" t="s">
        <v>108</v>
      </c>
      <c r="C29" s="8">
        <f>[1]!updatequotes(B29,$D$1:$E$1,D29:E29)</f>
        <v>0</v>
      </c>
      <c r="D29" s="8">
        <f t="shared" ca="1" si="0"/>
        <v>0.53564000000000001</v>
      </c>
      <c r="E29" s="8">
        <f t="shared" ca="1" si="1"/>
        <v>0.53564000000000001</v>
      </c>
      <c r="F29" s="8" t="s">
        <v>109</v>
      </c>
      <c r="G29" s="8">
        <f>[1]!updatequotes(F29,$H$1:$I$1,H29:I29)</f>
        <v>0</v>
      </c>
      <c r="H29" s="8">
        <f t="shared" ca="1" si="2"/>
        <v>0.91395700000000002</v>
      </c>
      <c r="I29" s="8">
        <f t="shared" ca="1" si="3"/>
        <v>0.91395700000000002</v>
      </c>
      <c r="J29" s="8" t="s">
        <v>110</v>
      </c>
      <c r="K29" s="8" t="s">
        <v>11</v>
      </c>
      <c r="L29" s="8">
        <f t="shared" ca="1" si="4"/>
        <v>0.29786200000000002</v>
      </c>
      <c r="M29" s="8">
        <f t="shared" ca="1" si="5"/>
        <v>0.29786200000000002</v>
      </c>
    </row>
    <row r="30" spans="1:13">
      <c r="A30" s="8">
        <v>29</v>
      </c>
      <c r="B30" s="8" t="s">
        <v>111</v>
      </c>
      <c r="C30" s="8">
        <f>[1]!updatequotes(B30,$D$1:$E$1,D30:E30)</f>
        <v>0</v>
      </c>
      <c r="D30" s="8">
        <f t="shared" ca="1" si="0"/>
        <v>0.62125300000000006</v>
      </c>
      <c r="E30" s="8">
        <f t="shared" ca="1" si="1"/>
        <v>0.62125300000000006</v>
      </c>
      <c r="F30" s="8" t="s">
        <v>112</v>
      </c>
      <c r="G30" s="8">
        <f>[1]!updatequotes(F30,$H$1:$I$1,H30:I30)</f>
        <v>0</v>
      </c>
      <c r="H30" s="8">
        <f t="shared" ca="1" si="2"/>
        <v>9.1635999999999995E-2</v>
      </c>
      <c r="I30" s="8">
        <f t="shared" ca="1" si="3"/>
        <v>9.1635999999999995E-2</v>
      </c>
      <c r="J30" s="8" t="s">
        <v>113</v>
      </c>
      <c r="K30" s="8" t="s">
        <v>16</v>
      </c>
      <c r="L30" s="8">
        <f t="shared" ca="1" si="4"/>
        <v>0.66797200000000001</v>
      </c>
      <c r="M30" s="8">
        <f t="shared" ca="1" si="5"/>
        <v>0.66797200000000001</v>
      </c>
    </row>
    <row r="31" spans="1:13">
      <c r="A31" s="8">
        <v>30</v>
      </c>
      <c r="B31" s="8" t="s">
        <v>114</v>
      </c>
      <c r="C31" s="8">
        <f>[1]!updatequotes(B31,$D$1:$E$1,D31:E31)</f>
        <v>0</v>
      </c>
      <c r="D31" s="8">
        <f t="shared" ca="1" si="0"/>
        <v>6.5837000000000007E-2</v>
      </c>
      <c r="E31" s="8">
        <f t="shared" ca="1" si="1"/>
        <v>6.5837000000000007E-2</v>
      </c>
      <c r="F31" s="8" t="s">
        <v>115</v>
      </c>
      <c r="G31" s="8">
        <f>[1]!updatequotes(F31,$H$1:$I$1,H31:I31)</f>
        <v>0</v>
      </c>
      <c r="H31" s="8">
        <f t="shared" ca="1" si="2"/>
        <v>0.804199</v>
      </c>
      <c r="I31" s="8">
        <f t="shared" ca="1" si="3"/>
        <v>0.804199</v>
      </c>
      <c r="J31" s="8" t="s">
        <v>116</v>
      </c>
      <c r="K31" s="8" t="s">
        <v>107</v>
      </c>
      <c r="L31" s="8">
        <f t="shared" ca="1" si="4"/>
        <v>0.51314300000000002</v>
      </c>
      <c r="M31" s="8">
        <f t="shared" ca="1" si="5"/>
        <v>0.51314300000000002</v>
      </c>
    </row>
    <row r="32" spans="1:13">
      <c r="A32" s="8">
        <v>31</v>
      </c>
      <c r="B32" s="8" t="s">
        <v>117</v>
      </c>
      <c r="C32" s="8">
        <f>[1]!updatequotes(B32,$D$1:$E$1,D32:E32)</f>
        <v>0</v>
      </c>
      <c r="D32" s="8">
        <f t="shared" ca="1" si="0"/>
        <v>0.47271299999999999</v>
      </c>
      <c r="E32" s="8">
        <f t="shared" ca="1" si="1"/>
        <v>0.47271299999999999</v>
      </c>
      <c r="F32" s="8" t="s">
        <v>118</v>
      </c>
      <c r="G32" s="8">
        <f>[1]!updatequotes(F32,$H$1:$I$1,H32:I32)</f>
        <v>0</v>
      </c>
      <c r="H32" s="8">
        <f t="shared" ca="1" si="2"/>
        <v>0.167874</v>
      </c>
      <c r="I32" s="8">
        <f t="shared" ca="1" si="3"/>
        <v>0.167874</v>
      </c>
      <c r="J32" s="8" t="s">
        <v>119</v>
      </c>
      <c r="K32" s="8" t="s">
        <v>75</v>
      </c>
      <c r="L32" s="8">
        <f t="shared" ca="1" si="4"/>
        <v>0.40081699999999998</v>
      </c>
      <c r="M32" s="8">
        <f t="shared" ca="1" si="5"/>
        <v>0.40081699999999998</v>
      </c>
    </row>
    <row r="33" spans="1:13">
      <c r="A33" s="8">
        <v>32</v>
      </c>
      <c r="B33" s="8" t="s">
        <v>120</v>
      </c>
      <c r="C33" s="8">
        <f>[1]!updatequotes(B33,$D$1:$E$1,D33:E33)</f>
        <v>0</v>
      </c>
      <c r="D33" s="8">
        <f t="shared" ca="1" si="0"/>
        <v>0.50485000000000002</v>
      </c>
      <c r="E33" s="8">
        <f t="shared" ca="1" si="1"/>
        <v>0.50485000000000002</v>
      </c>
      <c r="F33" s="8" t="s">
        <v>121</v>
      </c>
      <c r="G33" s="8">
        <f>[1]!updatequotes(F33,$H$1:$I$1,H33:I33)</f>
        <v>0</v>
      </c>
      <c r="H33" s="8">
        <f t="shared" ca="1" si="2"/>
        <v>0.34132400000000002</v>
      </c>
      <c r="I33" s="8">
        <f t="shared" ca="1" si="3"/>
        <v>0.34132400000000002</v>
      </c>
      <c r="J33" s="8" t="s">
        <v>122</v>
      </c>
      <c r="K33" s="8" t="s">
        <v>54</v>
      </c>
      <c r="L33" s="8">
        <f t="shared" ca="1" si="4"/>
        <v>0.83746100000000001</v>
      </c>
      <c r="M33" s="8">
        <f t="shared" ca="1" si="5"/>
        <v>0.83746100000000001</v>
      </c>
    </row>
    <row r="34" spans="1:13">
      <c r="A34" s="8">
        <v>33</v>
      </c>
      <c r="B34" s="8" t="s">
        <v>123</v>
      </c>
      <c r="C34" s="8">
        <f>[1]!updatequotes(B34,$D$1:$E$1,D34:E34)</f>
        <v>0</v>
      </c>
      <c r="D34" s="8">
        <f t="shared" ca="1" si="0"/>
        <v>0.32844899999999999</v>
      </c>
      <c r="E34" s="8">
        <f t="shared" ca="1" si="1"/>
        <v>0.32844899999999999</v>
      </c>
      <c r="F34" s="8" t="s">
        <v>124</v>
      </c>
      <c r="G34" s="8">
        <f>[1]!updatequotes(F34,$H$1:$I$1,H34:I34)</f>
        <v>0</v>
      </c>
      <c r="H34" s="8">
        <f t="shared" ca="1" si="2"/>
        <v>0.78480300000000003</v>
      </c>
      <c r="I34" s="8">
        <f t="shared" ca="1" si="3"/>
        <v>0.78480300000000003</v>
      </c>
      <c r="J34" s="8" t="s">
        <v>125</v>
      </c>
      <c r="K34" s="8" t="s">
        <v>126</v>
      </c>
      <c r="L34" s="8">
        <f t="shared" ca="1" si="4"/>
        <v>0.54636700000000005</v>
      </c>
      <c r="M34" s="8">
        <f t="shared" ca="1" si="5"/>
        <v>0.54636700000000005</v>
      </c>
    </row>
    <row r="35" spans="1:13">
      <c r="A35" s="8">
        <v>34</v>
      </c>
      <c r="B35" s="8" t="s">
        <v>127</v>
      </c>
      <c r="C35" s="8">
        <f>[1]!updatequotes(B35,$D$1:$E$1,D35:E35)</f>
        <v>0</v>
      </c>
      <c r="D35" s="8">
        <f t="shared" ca="1" si="0"/>
        <v>4.1890999999999998E-2</v>
      </c>
      <c r="E35" s="8">
        <f t="shared" ca="1" si="1"/>
        <v>4.1890999999999998E-2</v>
      </c>
      <c r="F35" s="8" t="s">
        <v>128</v>
      </c>
      <c r="G35" s="8">
        <f>[1]!updatequotes(F35,$H$1:$I$1,H35:I35)</f>
        <v>0</v>
      </c>
      <c r="H35" s="8">
        <f t="shared" ca="1" si="2"/>
        <v>0.27094699999999999</v>
      </c>
      <c r="I35" s="8">
        <f t="shared" ca="1" si="3"/>
        <v>0.27094699999999999</v>
      </c>
      <c r="J35" s="8" t="s">
        <v>129</v>
      </c>
      <c r="K35" s="8" t="s">
        <v>22</v>
      </c>
      <c r="L35" s="8">
        <f t="shared" ca="1" si="4"/>
        <v>0.38184099999999999</v>
      </c>
      <c r="M35" s="8">
        <f t="shared" ca="1" si="5"/>
        <v>0.38184099999999999</v>
      </c>
    </row>
    <row r="36" spans="1:13">
      <c r="A36" s="8">
        <v>35</v>
      </c>
      <c r="B36" s="8" t="s">
        <v>130</v>
      </c>
      <c r="C36" s="8">
        <f>[1]!updatequotes(B36,$D$1:$E$1,D36:E36)</f>
        <v>0</v>
      </c>
      <c r="D36" s="8">
        <f t="shared" ca="1" si="0"/>
        <v>0.91816600000000004</v>
      </c>
      <c r="E36" s="8">
        <f t="shared" ca="1" si="1"/>
        <v>0.91816600000000004</v>
      </c>
      <c r="F36" s="8" t="s">
        <v>131</v>
      </c>
      <c r="G36" s="8">
        <f>[1]!updatequotes(F36,$H$1:$I$1,H36:I36)</f>
        <v>0</v>
      </c>
      <c r="H36" s="8">
        <f t="shared" ca="1" si="2"/>
        <v>0.71066399999999996</v>
      </c>
      <c r="I36" s="8">
        <f t="shared" ca="1" si="3"/>
        <v>0.71066399999999996</v>
      </c>
      <c r="J36" s="8" t="s">
        <v>132</v>
      </c>
      <c r="K36" s="8" t="s">
        <v>37</v>
      </c>
      <c r="L36" s="8">
        <f t="shared" ca="1" si="4"/>
        <v>0.150755</v>
      </c>
      <c r="M36" s="8">
        <f t="shared" ca="1" si="5"/>
        <v>0.150755</v>
      </c>
    </row>
    <row r="37" spans="1:13">
      <c r="A37" s="8">
        <v>36</v>
      </c>
      <c r="F37" s="8" t="s">
        <v>133</v>
      </c>
      <c r="G37" s="8">
        <f>[1]!updatequotes(F37,$H$1:$I$1,H37:I37)</f>
        <v>0</v>
      </c>
      <c r="H37" s="8">
        <f t="shared" ca="1" si="2"/>
        <v>2.4269999999999999E-3</v>
      </c>
      <c r="I37" s="8">
        <f t="shared" ca="1" si="3"/>
        <v>2.4269999999999999E-3</v>
      </c>
      <c r="J37" s="8" t="s">
        <v>134</v>
      </c>
      <c r="K37" s="8" t="s">
        <v>135</v>
      </c>
      <c r="L37" s="8">
        <f t="shared" ca="1" si="4"/>
        <v>0.51852799999999999</v>
      </c>
      <c r="M37" s="8">
        <f t="shared" ca="1" si="5"/>
        <v>0.51852799999999999</v>
      </c>
    </row>
    <row r="38" spans="1:13">
      <c r="A38" s="8">
        <v>37</v>
      </c>
      <c r="F38" s="8" t="s">
        <v>136</v>
      </c>
      <c r="G38" s="8">
        <f>[1]!updatequotes(F38,$H$1:$I$1,H38:I38)</f>
        <v>0</v>
      </c>
      <c r="H38" s="8">
        <f t="shared" ca="1" si="2"/>
        <v>6.9298999999999999E-2</v>
      </c>
      <c r="I38" s="8">
        <f t="shared" ca="1" si="3"/>
        <v>6.9298999999999999E-2</v>
      </c>
      <c r="J38" s="8" t="s">
        <v>137</v>
      </c>
      <c r="K38" s="8" t="s">
        <v>31</v>
      </c>
      <c r="L38" s="8">
        <f t="shared" ca="1" si="4"/>
        <v>0.96579800000000005</v>
      </c>
      <c r="M38" s="8">
        <f t="shared" ca="1" si="5"/>
        <v>0.96579800000000005</v>
      </c>
    </row>
    <row r="39" spans="1:13">
      <c r="A39" s="8">
        <v>38</v>
      </c>
      <c r="F39" s="8" t="s">
        <v>138</v>
      </c>
      <c r="G39" s="8">
        <f>[1]!updatequotes(F39,$H$1:$I$1,H39:I39)</f>
        <v>0</v>
      </c>
      <c r="H39" s="8">
        <f t="shared" ca="1" si="2"/>
        <v>2.8761999999999999E-2</v>
      </c>
      <c r="I39" s="8">
        <f t="shared" ca="1" si="3"/>
        <v>2.8761999999999999E-2</v>
      </c>
      <c r="J39" s="8" t="s">
        <v>139</v>
      </c>
      <c r="K39" s="8" t="s">
        <v>140</v>
      </c>
      <c r="L39" s="8">
        <f t="shared" ca="1" si="4"/>
        <v>0.59842499999999998</v>
      </c>
      <c r="M39" s="8">
        <f t="shared" ca="1" si="5"/>
        <v>0.59842499999999998</v>
      </c>
    </row>
    <row r="40" spans="1:13">
      <c r="A40" s="8">
        <v>39</v>
      </c>
      <c r="F40" s="8" t="s">
        <v>141</v>
      </c>
      <c r="G40" s="8">
        <f>[1]!updatequotes(F40,$H$1:$I$1,H40:I40)</f>
        <v>0</v>
      </c>
      <c r="H40" s="8">
        <f t="shared" ca="1" si="2"/>
        <v>0.236565</v>
      </c>
      <c r="I40" s="8">
        <f t="shared" ca="1" si="3"/>
        <v>0.236565</v>
      </c>
      <c r="J40" s="8" t="s">
        <v>142</v>
      </c>
      <c r="K40" s="8" t="s">
        <v>33</v>
      </c>
      <c r="L40" s="8">
        <f t="shared" ca="1" si="4"/>
        <v>0.57987999999999995</v>
      </c>
      <c r="M40" s="8">
        <f t="shared" ca="1" si="5"/>
        <v>0.57987999999999995</v>
      </c>
    </row>
    <row r="41" spans="1:13">
      <c r="A41" s="8">
        <v>40</v>
      </c>
      <c r="F41" s="8" t="s">
        <v>143</v>
      </c>
      <c r="G41" s="8">
        <f>[1]!updatequotes(F41,$H$1:$I$1,H41:I41)</f>
        <v>0</v>
      </c>
      <c r="H41" s="8">
        <f t="shared" ca="1" si="2"/>
        <v>0.67504399999999998</v>
      </c>
      <c r="I41" s="8">
        <f t="shared" ca="1" si="3"/>
        <v>0.67504399999999998</v>
      </c>
      <c r="J41" s="8" t="s">
        <v>144</v>
      </c>
      <c r="K41" s="8" t="s">
        <v>145</v>
      </c>
      <c r="L41" s="8">
        <f t="shared" ca="1" si="4"/>
        <v>0.22645000000000001</v>
      </c>
      <c r="M41" s="8">
        <f t="shared" ca="1" si="5"/>
        <v>0.22645000000000001</v>
      </c>
    </row>
    <row r="42" spans="1:13">
      <c r="A42" s="8">
        <v>41</v>
      </c>
      <c r="F42" s="8" t="s">
        <v>146</v>
      </c>
      <c r="G42" s="8">
        <f>[1]!updatequotes(F42,$H$1:$I$1,H42:I42)</f>
        <v>0</v>
      </c>
      <c r="H42" s="8">
        <f t="shared" ca="1" si="2"/>
        <v>4.8959000000000003E-2</v>
      </c>
      <c r="I42" s="8">
        <f t="shared" ca="1" si="3"/>
        <v>4.8959000000000003E-2</v>
      </c>
    </row>
    <row r="43" spans="1:13">
      <c r="A43" s="8">
        <v>42</v>
      </c>
      <c r="F43" s="8" t="s">
        <v>147</v>
      </c>
      <c r="G43" s="8">
        <f>[1]!updatequotes(F43,$H$1:$I$1,H43:I43)</f>
        <v>0</v>
      </c>
      <c r="H43" s="8">
        <f t="shared" ca="1" si="2"/>
        <v>0.65806699999999996</v>
      </c>
      <c r="I43" s="8">
        <f t="shared" ca="1" si="3"/>
        <v>0.65806699999999996</v>
      </c>
    </row>
    <row r="44" spans="1:13">
      <c r="A44" s="8">
        <v>43</v>
      </c>
      <c r="F44" s="8" t="s">
        <v>148</v>
      </c>
      <c r="G44" s="8">
        <f>[1]!updatequotes(F44,$H$1:$I$1,H44:I44)</f>
        <v>0</v>
      </c>
      <c r="H44" s="8">
        <f t="shared" ca="1" si="2"/>
        <v>0.90004799999999996</v>
      </c>
      <c r="I44" s="8">
        <f t="shared" ca="1" si="3"/>
        <v>0.90004799999999996</v>
      </c>
    </row>
    <row r="45" spans="1:13">
      <c r="A45" s="8">
        <v>44</v>
      </c>
      <c r="F45" s="8" t="s">
        <v>149</v>
      </c>
      <c r="G45" s="8">
        <f>[1]!updatequotes(F45,$H$1:$I$1,H45:I45)</f>
        <v>0</v>
      </c>
      <c r="H45" s="8">
        <f t="shared" ca="1" si="2"/>
        <v>0.42980000000000002</v>
      </c>
      <c r="I45" s="8">
        <f t="shared" ca="1" si="3"/>
        <v>0.42980000000000002</v>
      </c>
    </row>
    <row r="46" spans="1:13">
      <c r="A46" s="8">
        <v>45</v>
      </c>
      <c r="F46" s="8" t="s">
        <v>150</v>
      </c>
      <c r="G46" s="8">
        <f>[1]!updatequotes(F46,$H$1:$I$1,H46:I46)</f>
        <v>0</v>
      </c>
      <c r="H46" s="8">
        <f t="shared" ca="1" si="2"/>
        <v>0.50788599999999995</v>
      </c>
      <c r="I46" s="8">
        <f t="shared" ca="1" si="3"/>
        <v>0.50788599999999995</v>
      </c>
    </row>
    <row r="47" spans="1:13">
      <c r="A47" s="8">
        <v>46</v>
      </c>
      <c r="F47" s="8" t="s">
        <v>151</v>
      </c>
      <c r="G47" s="8">
        <f>[1]!updatequotes(F47,$H$1:$I$1,H47:I47)</f>
        <v>0</v>
      </c>
      <c r="H47" s="8">
        <f t="shared" ca="1" si="2"/>
        <v>0.32540599999999997</v>
      </c>
      <c r="I47" s="8">
        <f t="shared" ca="1" si="3"/>
        <v>0.32540599999999997</v>
      </c>
    </row>
    <row r="48" spans="1:13">
      <c r="A48" s="8">
        <v>47</v>
      </c>
      <c r="F48" s="8" t="s">
        <v>152</v>
      </c>
      <c r="G48" s="8">
        <f>[1]!updatequotes(F48,$H$1:$I$1,H48:I48)</f>
        <v>0</v>
      </c>
      <c r="H48" s="8">
        <f t="shared" ca="1" si="2"/>
        <v>1.4737E-2</v>
      </c>
      <c r="I48" s="8">
        <f t="shared" ca="1" si="3"/>
        <v>1.4737E-2</v>
      </c>
    </row>
    <row r="49" spans="1:9">
      <c r="A49" s="8">
        <v>48</v>
      </c>
      <c r="F49" s="8" t="s">
        <v>153</v>
      </c>
      <c r="G49" s="8">
        <f>[1]!updatequotes(F49,$H$1:$I$1,H49:I49)</f>
        <v>0</v>
      </c>
      <c r="H49" s="8">
        <f t="shared" ca="1" si="2"/>
        <v>0.84163900000000003</v>
      </c>
      <c r="I49" s="8">
        <f t="shared" ca="1" si="3"/>
        <v>0.84163900000000003</v>
      </c>
    </row>
    <row r="50" spans="1:9">
      <c r="A50" s="8">
        <v>49</v>
      </c>
      <c r="F50" s="8" t="s">
        <v>154</v>
      </c>
      <c r="G50" s="8">
        <f>[1]!updatequotes(F50,$H$1:$I$1,H50:I50)</f>
        <v>0</v>
      </c>
      <c r="H50" s="8">
        <f t="shared" ca="1" si="2"/>
        <v>0.13831199999999999</v>
      </c>
      <c r="I50" s="8">
        <f t="shared" ca="1" si="3"/>
        <v>0.13831199999999999</v>
      </c>
    </row>
    <row r="51" spans="1:9">
      <c r="A51" s="8">
        <v>50</v>
      </c>
      <c r="F51" s="8" t="s">
        <v>155</v>
      </c>
      <c r="G51" s="8">
        <f>[1]!updatequotes(F51,$H$1:$I$1,H51:I51)</f>
        <v>0</v>
      </c>
      <c r="H51" s="8">
        <f t="shared" ca="1" si="2"/>
        <v>0.218579</v>
      </c>
      <c r="I51" s="8">
        <f t="shared" ca="1" si="3"/>
        <v>0.218579</v>
      </c>
    </row>
    <row r="52" spans="1:9">
      <c r="A52" s="8">
        <v>51</v>
      </c>
    </row>
    <row r="53" spans="1:9">
      <c r="A53" s="8">
        <v>52</v>
      </c>
    </row>
    <row r="54" spans="1:9">
      <c r="A54" s="8">
        <v>53</v>
      </c>
    </row>
    <row r="55" spans="1:9">
      <c r="A55" s="8">
        <v>54</v>
      </c>
    </row>
    <row r="56" spans="1:9">
      <c r="A56" s="8">
        <v>55</v>
      </c>
    </row>
    <row r="57" spans="1:9">
      <c r="A57" s="8">
        <v>56</v>
      </c>
    </row>
    <row r="58" spans="1:9">
      <c r="A58" s="8">
        <v>57</v>
      </c>
    </row>
    <row r="59" spans="1:9">
      <c r="A59" s="8">
        <v>58</v>
      </c>
    </row>
    <row r="60" spans="1:9">
      <c r="A60" s="8">
        <v>59</v>
      </c>
    </row>
    <row r="61" spans="1:9">
      <c r="A61" s="8">
        <v>60</v>
      </c>
    </row>
    <row r="62" spans="1:9">
      <c r="A62" s="8">
        <v>61</v>
      </c>
    </row>
    <row r="63" spans="1:9">
      <c r="A63" s="8">
        <v>62</v>
      </c>
    </row>
    <row r="64" spans="1:9">
      <c r="A64" s="8">
        <v>63</v>
      </c>
    </row>
    <row r="65" spans="1:1">
      <c r="A65" s="8">
        <v>64</v>
      </c>
    </row>
    <row r="66" spans="1:1">
      <c r="A66" s="8">
        <v>65</v>
      </c>
    </row>
    <row r="67" spans="1:1">
      <c r="A67" s="8">
        <v>66</v>
      </c>
    </row>
    <row r="68" spans="1:1">
      <c r="A68" s="8">
        <v>67</v>
      </c>
    </row>
    <row r="69" spans="1:1">
      <c r="A69" s="8">
        <v>68</v>
      </c>
    </row>
    <row r="70" spans="1:1">
      <c r="A70" s="8">
        <v>69</v>
      </c>
    </row>
    <row r="71" spans="1:1">
      <c r="A71" s="8">
        <v>70</v>
      </c>
    </row>
    <row r="72" spans="1:1">
      <c r="A72" s="8">
        <v>71</v>
      </c>
    </row>
    <row r="73" spans="1:1">
      <c r="A73" s="8">
        <v>72</v>
      </c>
    </row>
    <row r="74" spans="1:1">
      <c r="A74" s="8">
        <v>73</v>
      </c>
    </row>
    <row r="75" spans="1:1">
      <c r="A75" s="8">
        <v>74</v>
      </c>
    </row>
    <row r="76" spans="1:1">
      <c r="A76" s="8">
        <v>75</v>
      </c>
    </row>
    <row r="77" spans="1:1">
      <c r="A77" s="8">
        <v>76</v>
      </c>
    </row>
    <row r="78" spans="1:1">
      <c r="A78" s="8">
        <v>77</v>
      </c>
    </row>
    <row r="79" spans="1:1">
      <c r="A79" s="8">
        <v>78</v>
      </c>
    </row>
    <row r="80" spans="1:1">
      <c r="A80" s="8">
        <v>79</v>
      </c>
    </row>
    <row r="81" spans="1:1">
      <c r="A81" s="8">
        <v>80</v>
      </c>
    </row>
    <row r="82" spans="1:1">
      <c r="A82" s="8">
        <v>81</v>
      </c>
    </row>
    <row r="83" spans="1:1">
      <c r="A83" s="8">
        <v>82</v>
      </c>
    </row>
    <row r="84" spans="1:1">
      <c r="A84" s="8">
        <v>83</v>
      </c>
    </row>
    <row r="85" spans="1:1">
      <c r="A85" s="8">
        <v>84</v>
      </c>
    </row>
    <row r="86" spans="1:1">
      <c r="A86" s="8">
        <v>85</v>
      </c>
    </row>
    <row r="87" spans="1:1">
      <c r="A87" s="8">
        <v>86</v>
      </c>
    </row>
    <row r="88" spans="1:1">
      <c r="A88" s="8">
        <v>87</v>
      </c>
    </row>
    <row r="89" spans="1:1">
      <c r="A89" s="8">
        <v>88</v>
      </c>
    </row>
    <row r="90" spans="1:1">
      <c r="A90" s="8">
        <v>89</v>
      </c>
    </row>
    <row r="91" spans="1:1">
      <c r="A91" s="8">
        <v>90</v>
      </c>
    </row>
    <row r="92" spans="1:1">
      <c r="A92" s="8">
        <v>91</v>
      </c>
    </row>
    <row r="93" spans="1:1">
      <c r="A93" s="8">
        <v>92</v>
      </c>
    </row>
    <row r="94" spans="1:1">
      <c r="A94" s="8">
        <v>93</v>
      </c>
    </row>
    <row r="95" spans="1:1">
      <c r="A95" s="8">
        <v>94</v>
      </c>
    </row>
    <row r="96" spans="1:1">
      <c r="A96" s="8">
        <v>95</v>
      </c>
    </row>
    <row r="97" spans="1:1">
      <c r="A97" s="8">
        <v>96</v>
      </c>
    </row>
    <row r="98" spans="1:1">
      <c r="A98" s="8">
        <v>97</v>
      </c>
    </row>
    <row r="99" spans="1:1">
      <c r="A99" s="8">
        <v>98</v>
      </c>
    </row>
    <row r="100" spans="1:1">
      <c r="A100" s="8">
        <v>99</v>
      </c>
    </row>
    <row r="101" spans="1:1">
      <c r="A101" s="8">
        <v>100</v>
      </c>
    </row>
  </sheetData>
  <pageMargins left="0.7" right="0.7" top="0.75" bottom="0.75" header="0.3" footer="0.3"/>
  <legacyDrawing r:id="rId1"/>
  <controls>
    <control shapeId="1026" r:id="rId2" name="cmdEndTest"/>
    <control shapeId="1025" r:id="rId3" name="cmdStartTest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G17" sqref="G17"/>
    </sheetView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M101"/>
  <sheetViews>
    <sheetView tabSelected="1" workbookViewId="0">
      <selection activeCell="C2" sqref="C2"/>
    </sheetView>
  </sheetViews>
  <sheetFormatPr defaultRowHeight="14.4"/>
  <cols>
    <col min="2" max="2" width="8.77734375" customWidth="1"/>
    <col min="3" max="3" width="9.109375" customWidth="1"/>
    <col min="4" max="4" width="8.88671875" style="2"/>
    <col min="6" max="6" width="7.21875" customWidth="1"/>
    <col min="7" max="7" width="8.33203125" customWidth="1"/>
    <col min="8" max="8" width="8.88671875" style="5"/>
    <col min="10" max="10" width="9.44140625" customWidth="1"/>
    <col min="11" max="11" width="10.44140625" customWidth="1"/>
    <col min="12" max="12" width="8.88671875" style="5"/>
  </cols>
  <sheetData>
    <row r="1" spans="1:13">
      <c r="D1" s="2" t="s">
        <v>0</v>
      </c>
      <c r="E1" t="s">
        <v>0</v>
      </c>
      <c r="H1" s="5" t="s">
        <v>0</v>
      </c>
      <c r="I1" t="s">
        <v>0</v>
      </c>
      <c r="L1" s="5" t="s">
        <v>0</v>
      </c>
      <c r="M1" t="s">
        <v>0</v>
      </c>
    </row>
    <row r="2" spans="1:13">
      <c r="A2">
        <v>1</v>
      </c>
      <c r="B2" t="str">
        <f>CONCATENATE("EURDFSTD",A2,"=.EONIA")</f>
        <v>EURDFSTD1=.EONIA</v>
      </c>
      <c r="C2">
        <f>[1]!updatequotes(B2,$D$1:$E$1,D2:E2)</f>
        <v>0</v>
      </c>
      <c r="D2" s="3">
        <v>0.231655</v>
      </c>
      <c r="E2" s="1">
        <f>D2</f>
        <v>0.231655</v>
      </c>
      <c r="F2" t="str">
        <f>CONCATENATE("EURDF6M",A2,"=.EONIA")</f>
        <v>EURDF6M1=.EONIA</v>
      </c>
      <c r="G2">
        <f>[1]!updatequotes(F2,$H$1:$I$1,H2:I2)</f>
        <v>0</v>
      </c>
      <c r="H2" s="7">
        <v>0.54062600000000005</v>
      </c>
      <c r="I2">
        <f>H2</f>
        <v>0.54062600000000005</v>
      </c>
      <c r="J2" t="str">
        <f>CONCATENATE("EURDF3M",A2,"=.EONIA")</f>
        <v>EURDF3M1=.EONIA</v>
      </c>
      <c r="K2">
        <f>[1]!updatequotes(J2,$L$1:$M$1,L2:M2)</f>
        <v>0</v>
      </c>
      <c r="L2" s="7">
        <v>0.144674</v>
      </c>
      <c r="M2">
        <f>L2</f>
        <v>0.144674</v>
      </c>
    </row>
    <row r="3" spans="1:13">
      <c r="A3">
        <v>2</v>
      </c>
      <c r="B3" t="str">
        <f t="shared" ref="B3:B36" si="0">CONCATENATE("EURDFSTD",A3,"=.EONIA")</f>
        <v>EURDFSTD2=.EONIA</v>
      </c>
      <c r="C3">
        <f>[1]!updatequotes(B3,$D$1:$E$1,D3:E3)</f>
        <v>0</v>
      </c>
      <c r="D3" s="3">
        <v>0.89340900000000001</v>
      </c>
      <c r="E3" s="1">
        <f t="shared" ref="E3:E36" si="1">D3</f>
        <v>0.89340900000000001</v>
      </c>
      <c r="F3" t="str">
        <f t="shared" ref="F3:F51" si="2">CONCATENATE("EURDF6M",A3,"=.EONIA")</f>
        <v>EURDF6M2=.EONIA</v>
      </c>
      <c r="G3">
        <f>[1]!updatequotes(F3,$H$1:$I$1,H3:I3)</f>
        <v>0</v>
      </c>
      <c r="H3" s="7">
        <v>0.75700199999999995</v>
      </c>
      <c r="I3">
        <f t="shared" ref="I3:I51" si="3">H3</f>
        <v>0.75700199999999995</v>
      </c>
      <c r="J3" t="str">
        <f t="shared" ref="J3:J41" si="4">CONCATENATE("EURDF3M",A3,"=.EONIA")</f>
        <v>EURDF3M2=.EONIA</v>
      </c>
      <c r="K3">
        <f>[1]!updatequotes(J3,$L$1:$M$1,L3:M3)</f>
        <v>0</v>
      </c>
      <c r="L3" s="7">
        <v>0.25690800000000003</v>
      </c>
      <c r="M3">
        <f t="shared" ref="M3:M41" si="5">L3</f>
        <v>0.25690800000000003</v>
      </c>
    </row>
    <row r="4" spans="1:13">
      <c r="A4">
        <v>3</v>
      </c>
      <c r="B4" t="str">
        <f t="shared" si="0"/>
        <v>EURDFSTD3=.EONIA</v>
      </c>
      <c r="C4">
        <f>[1]!updatequotes(B4,$D$1:$E$1,D4:E4)</f>
        <v>0</v>
      </c>
      <c r="D4" s="3">
        <v>0.63876699999999997</v>
      </c>
      <c r="E4" s="1">
        <f t="shared" si="1"/>
        <v>0.63876699999999997</v>
      </c>
      <c r="F4" t="str">
        <f t="shared" si="2"/>
        <v>EURDF6M3=.EONIA</v>
      </c>
      <c r="G4">
        <f>[1]!updatequotes(F4,$H$1:$I$1,H4:I4)</f>
        <v>0</v>
      </c>
      <c r="H4" s="7">
        <v>0.62922699999999998</v>
      </c>
      <c r="I4">
        <f t="shared" si="3"/>
        <v>0.62922699999999998</v>
      </c>
      <c r="J4" t="str">
        <f t="shared" si="4"/>
        <v>EURDF3M3=.EONIA</v>
      </c>
      <c r="K4">
        <f>[1]!updatequotes(J4,$L$1:$M$1,L4:M4)</f>
        <v>0</v>
      </c>
      <c r="L4" s="7">
        <v>0.32394099999999998</v>
      </c>
      <c r="M4">
        <f t="shared" si="5"/>
        <v>0.32394099999999998</v>
      </c>
    </row>
    <row r="5" spans="1:13">
      <c r="A5">
        <v>4</v>
      </c>
      <c r="B5" t="str">
        <f t="shared" si="0"/>
        <v>EURDFSTD4=.EONIA</v>
      </c>
      <c r="C5">
        <f>[1]!updatequotes(B5,$D$1:$E$1,D5:E5)</f>
        <v>0</v>
      </c>
      <c r="D5" s="3">
        <v>0.87885199999999997</v>
      </c>
      <c r="E5" s="1">
        <f t="shared" si="1"/>
        <v>0.87885199999999997</v>
      </c>
      <c r="F5" t="str">
        <f t="shared" si="2"/>
        <v>EURDF6M4=.EONIA</v>
      </c>
      <c r="G5">
        <f>[1]!updatequotes(F5,$H$1:$I$1,H5:I5)</f>
        <v>0</v>
      </c>
      <c r="H5" s="7">
        <v>0.49536400000000003</v>
      </c>
      <c r="I5">
        <f t="shared" si="3"/>
        <v>0.49536400000000003</v>
      </c>
      <c r="J5" t="str">
        <f t="shared" si="4"/>
        <v>EURDF3M4=.EONIA</v>
      </c>
      <c r="K5">
        <f>[1]!updatequotes(J5,$L$1:$M$1,L5:M5)</f>
        <v>0</v>
      </c>
      <c r="L5" s="7">
        <v>0.58766600000000002</v>
      </c>
      <c r="M5">
        <f t="shared" si="5"/>
        <v>0.58766600000000002</v>
      </c>
    </row>
    <row r="6" spans="1:13">
      <c r="A6">
        <v>5</v>
      </c>
      <c r="B6" t="str">
        <f t="shared" si="0"/>
        <v>EURDFSTD5=.EONIA</v>
      </c>
      <c r="C6">
        <f>[1]!updatequotes(B6,$D$1:$E$1,D6:E6)</f>
        <v>0</v>
      </c>
      <c r="D6" s="3">
        <v>0.68074999999999997</v>
      </c>
      <c r="E6" s="1">
        <f t="shared" si="1"/>
        <v>0.68074999999999997</v>
      </c>
      <c r="F6" t="str">
        <f t="shared" si="2"/>
        <v>EURDF6M5=.EONIA</v>
      </c>
      <c r="G6">
        <f>[1]!updatequotes(F6,$H$1:$I$1,H6:I6)</f>
        <v>0</v>
      </c>
      <c r="H6" s="7">
        <v>0.224441</v>
      </c>
      <c r="I6">
        <f t="shared" si="3"/>
        <v>0.224441</v>
      </c>
      <c r="J6" t="str">
        <f t="shared" si="4"/>
        <v>EURDF3M5=.EONIA</v>
      </c>
      <c r="K6">
        <f>[1]!updatequotes(J6,$L$1:$M$1,L6:M6)</f>
        <v>0</v>
      </c>
      <c r="L6" s="7">
        <v>0.30115599999999998</v>
      </c>
      <c r="M6">
        <f t="shared" si="5"/>
        <v>0.30115599999999998</v>
      </c>
    </row>
    <row r="7" spans="1:13">
      <c r="A7">
        <v>6</v>
      </c>
      <c r="B7" t="str">
        <f t="shared" si="0"/>
        <v>EURDFSTD6=.EONIA</v>
      </c>
      <c r="C7">
        <f>[1]!updatequotes(B7,$D$1:$E$1,D7:E7)</f>
        <v>0</v>
      </c>
      <c r="D7" s="3">
        <v>0.28780099999999997</v>
      </c>
      <c r="E7" s="1">
        <f t="shared" si="1"/>
        <v>0.28780099999999997</v>
      </c>
      <c r="F7" t="str">
        <f t="shared" si="2"/>
        <v>EURDF6M6=.EONIA</v>
      </c>
      <c r="G7">
        <f>[1]!updatequotes(F7,$H$1:$I$1,H7:I7)</f>
        <v>0</v>
      </c>
      <c r="H7" s="7">
        <v>0.56820400000000004</v>
      </c>
      <c r="I7">
        <f t="shared" si="3"/>
        <v>0.56820400000000004</v>
      </c>
      <c r="J7" t="str">
        <f t="shared" si="4"/>
        <v>EURDF3M6=.EONIA</v>
      </c>
      <c r="K7">
        <f>[1]!updatequotes(J7,$L$1:$M$1,L7:M7)</f>
        <v>0</v>
      </c>
      <c r="L7" s="7">
        <v>0.38183800000000001</v>
      </c>
      <c r="M7">
        <f t="shared" si="5"/>
        <v>0.38183800000000001</v>
      </c>
    </row>
    <row r="8" spans="1:13">
      <c r="A8">
        <v>7</v>
      </c>
      <c r="B8" t="str">
        <f t="shared" si="0"/>
        <v>EURDFSTD7=.EONIA</v>
      </c>
      <c r="C8">
        <f>[1]!updatequotes(B8,$D$1:$E$1,D8:E8)</f>
        <v>0</v>
      </c>
      <c r="D8" s="3">
        <v>0.75672399999999995</v>
      </c>
      <c r="E8" s="1">
        <f t="shared" si="1"/>
        <v>0.75672399999999995</v>
      </c>
      <c r="F8" t="str">
        <f t="shared" si="2"/>
        <v>EURDF6M7=.EONIA</v>
      </c>
      <c r="G8">
        <f>[1]!updatequotes(F8,$H$1:$I$1,H8:I8)</f>
        <v>0</v>
      </c>
      <c r="H8" s="6">
        <v>0.55396000000000001</v>
      </c>
      <c r="I8">
        <f t="shared" si="3"/>
        <v>0.55396000000000001</v>
      </c>
      <c r="J8" t="str">
        <f t="shared" si="4"/>
        <v>EURDF3M7=.EONIA</v>
      </c>
      <c r="K8">
        <f>[1]!updatequotes(J8,$L$1:$M$1,L8:M8)</f>
        <v>0</v>
      </c>
      <c r="L8" s="7">
        <v>0.50726700000000002</v>
      </c>
      <c r="M8">
        <f t="shared" si="5"/>
        <v>0.50726700000000002</v>
      </c>
    </row>
    <row r="9" spans="1:13">
      <c r="A9">
        <v>8</v>
      </c>
      <c r="B9" t="str">
        <f t="shared" si="0"/>
        <v>EURDFSTD8=.EONIA</v>
      </c>
      <c r="C9">
        <f>[1]!updatequotes(B9,$D$1:$E$1,D9:E9)</f>
        <v>0</v>
      </c>
      <c r="D9" s="3">
        <v>0.45192199999999999</v>
      </c>
      <c r="E9" s="1">
        <f t="shared" si="1"/>
        <v>0.45192199999999999</v>
      </c>
      <c r="F9" t="str">
        <f t="shared" si="2"/>
        <v>EURDF6M8=.EONIA</v>
      </c>
      <c r="G9">
        <f>[1]!updatequotes(F9,$H$1:$I$1,H9:I9)</f>
        <v>0</v>
      </c>
      <c r="H9" s="7">
        <v>0.59137200000000001</v>
      </c>
      <c r="I9">
        <f t="shared" si="3"/>
        <v>0.59137200000000001</v>
      </c>
      <c r="J9" t="str">
        <f t="shared" si="4"/>
        <v>EURDF3M8=.EONIA</v>
      </c>
      <c r="K9">
        <f>[1]!updatequotes(J9,$L$1:$M$1,L9:M9)</f>
        <v>0</v>
      </c>
      <c r="L9" s="7">
        <v>0.39922999999999997</v>
      </c>
      <c r="M9">
        <f t="shared" si="5"/>
        <v>0.39922999999999997</v>
      </c>
    </row>
    <row r="10" spans="1:13">
      <c r="A10">
        <v>9</v>
      </c>
      <c r="B10" t="str">
        <f t="shared" si="0"/>
        <v>EURDFSTD9=.EONIA</v>
      </c>
      <c r="C10">
        <f>[1]!updatequotes(B10,$D$1:$E$1,D10:E10)</f>
        <v>0</v>
      </c>
      <c r="D10" s="3">
        <v>0.12411800000000001</v>
      </c>
      <c r="E10" s="1">
        <f t="shared" si="1"/>
        <v>0.12411800000000001</v>
      </c>
      <c r="F10" t="str">
        <f t="shared" si="2"/>
        <v>EURDF6M9=.EONIA</v>
      </c>
      <c r="G10">
        <f>[1]!updatequotes(F10,$H$1:$I$1,H10:I10)</f>
        <v>0</v>
      </c>
      <c r="H10" s="7">
        <v>0.69022899999999998</v>
      </c>
      <c r="I10">
        <f t="shared" si="3"/>
        <v>0.69022899999999998</v>
      </c>
      <c r="J10" t="str">
        <f t="shared" si="4"/>
        <v>EURDF3M9=.EONIA</v>
      </c>
      <c r="K10">
        <f>[1]!updatequotes(J10,$L$1:$M$1,L10:M10)</f>
        <v>0</v>
      </c>
      <c r="L10" s="7">
        <v>0.43657400000000002</v>
      </c>
      <c r="M10">
        <f t="shared" si="5"/>
        <v>0.43657400000000002</v>
      </c>
    </row>
    <row r="11" spans="1:13">
      <c r="A11">
        <v>10</v>
      </c>
      <c r="B11" t="str">
        <f t="shared" si="0"/>
        <v>EURDFSTD10=.EONIA</v>
      </c>
      <c r="C11">
        <f>[1]!updatequotes(B11,$D$1:$E$1,D11:E11)</f>
        <v>0</v>
      </c>
      <c r="D11" s="3">
        <v>0.44587700000000002</v>
      </c>
      <c r="E11" s="1">
        <f t="shared" si="1"/>
        <v>0.44587700000000002</v>
      </c>
      <c r="F11" t="str">
        <f t="shared" si="2"/>
        <v>EURDF6M10=.EONIA</v>
      </c>
      <c r="G11">
        <f>[1]!updatequotes(F11,$H$1:$I$1,H11:I11)</f>
        <v>0</v>
      </c>
      <c r="H11" s="7">
        <v>0.69465100000000002</v>
      </c>
      <c r="I11">
        <f t="shared" si="3"/>
        <v>0.69465100000000002</v>
      </c>
      <c r="J11" t="str">
        <f t="shared" si="4"/>
        <v>EURDF3M10=.EONIA</v>
      </c>
      <c r="K11">
        <f>[1]!updatequotes(J11,$L$1:$M$1,L11:M11)</f>
        <v>0</v>
      </c>
      <c r="L11" s="7">
        <v>0.46437800000000001</v>
      </c>
      <c r="M11">
        <f t="shared" si="5"/>
        <v>0.46437800000000001</v>
      </c>
    </row>
    <row r="12" spans="1:13">
      <c r="A12">
        <v>11</v>
      </c>
      <c r="B12" t="str">
        <f t="shared" si="0"/>
        <v>EURDFSTD11=.EONIA</v>
      </c>
      <c r="C12">
        <f>[1]!updatequotes(B12,$D$1:$E$1,D12:E12)</f>
        <v>0</v>
      </c>
      <c r="D12" s="3">
        <v>0.17354900000000001</v>
      </c>
      <c r="E12" s="1">
        <f t="shared" si="1"/>
        <v>0.17354900000000001</v>
      </c>
      <c r="F12" t="str">
        <f t="shared" si="2"/>
        <v>EURDF6M11=.EONIA</v>
      </c>
      <c r="G12">
        <f>[1]!updatequotes(F12,$H$1:$I$1,H12:I12)</f>
        <v>0</v>
      </c>
      <c r="H12" s="7">
        <v>0.61991700000000005</v>
      </c>
      <c r="I12">
        <f t="shared" si="3"/>
        <v>0.61991700000000005</v>
      </c>
      <c r="J12" t="str">
        <f t="shared" si="4"/>
        <v>EURDF3M11=.EONIA</v>
      </c>
      <c r="K12">
        <f>[1]!updatequotes(J12,$L$1:$M$1,L12:M12)</f>
        <v>0</v>
      </c>
      <c r="L12" s="7">
        <v>0.271899</v>
      </c>
      <c r="M12">
        <f t="shared" si="5"/>
        <v>0.271899</v>
      </c>
    </row>
    <row r="13" spans="1:13">
      <c r="A13">
        <v>12</v>
      </c>
      <c r="B13" t="str">
        <f t="shared" si="0"/>
        <v>EURDFSTD12=.EONIA</v>
      </c>
      <c r="C13">
        <f>[1]!updatequotes(B13,$D$1:$E$1,D13:E13)</f>
        <v>0</v>
      </c>
      <c r="D13" s="3">
        <v>0.318969</v>
      </c>
      <c r="E13" s="1">
        <f t="shared" si="1"/>
        <v>0.318969</v>
      </c>
      <c r="F13" t="str">
        <f t="shared" si="2"/>
        <v>EURDF6M12=.EONIA</v>
      </c>
      <c r="G13">
        <f>[1]!updatequotes(F13,$H$1:$I$1,H13:I13)</f>
        <v>0</v>
      </c>
      <c r="H13" s="7">
        <v>0.15817100000000001</v>
      </c>
      <c r="I13">
        <f t="shared" si="3"/>
        <v>0.15817100000000001</v>
      </c>
      <c r="J13" t="str">
        <f t="shared" si="4"/>
        <v>EURDF3M12=.EONIA</v>
      </c>
      <c r="K13">
        <f>[1]!updatequotes(J13,$L$1:$M$1,L13:M13)</f>
        <v>0</v>
      </c>
      <c r="L13" s="7">
        <v>0.14429500000000001</v>
      </c>
      <c r="M13">
        <f t="shared" si="5"/>
        <v>0.14429500000000001</v>
      </c>
    </row>
    <row r="14" spans="1:13">
      <c r="A14">
        <v>13</v>
      </c>
      <c r="B14" t="str">
        <f t="shared" si="0"/>
        <v>EURDFSTD13=.EONIA</v>
      </c>
      <c r="C14">
        <f>[1]!updatequotes(B14,$D$1:$E$1,D14:E14)</f>
        <v>0</v>
      </c>
      <c r="D14" s="3">
        <v>1.8652999999999999E-2</v>
      </c>
      <c r="E14" s="1">
        <f t="shared" si="1"/>
        <v>1.8652999999999999E-2</v>
      </c>
      <c r="F14" t="str">
        <f t="shared" si="2"/>
        <v>EURDF6M13=.EONIA</v>
      </c>
      <c r="G14">
        <f>[1]!updatequotes(F14,$H$1:$I$1,H14:I14)</f>
        <v>0</v>
      </c>
      <c r="H14" s="7">
        <v>0.25747300000000001</v>
      </c>
      <c r="I14">
        <f t="shared" si="3"/>
        <v>0.25747300000000001</v>
      </c>
      <c r="J14" t="str">
        <f t="shared" si="4"/>
        <v>EURDF3M13=.EONIA</v>
      </c>
      <c r="K14">
        <f>[1]!updatequotes(J14,$L$1:$M$1,L14:M14)</f>
        <v>0</v>
      </c>
      <c r="L14" s="7">
        <v>0.19156599999999999</v>
      </c>
      <c r="M14">
        <f t="shared" si="5"/>
        <v>0.19156599999999999</v>
      </c>
    </row>
    <row r="15" spans="1:13">
      <c r="A15">
        <v>14</v>
      </c>
      <c r="B15" t="str">
        <f t="shared" si="0"/>
        <v>EURDFSTD14=.EONIA</v>
      </c>
      <c r="C15">
        <f>[1]!updatequotes(B15,$D$1:$E$1,D15:E15)</f>
        <v>0</v>
      </c>
      <c r="D15" s="3">
        <v>0.84835899999999997</v>
      </c>
      <c r="E15" s="1">
        <f t="shared" si="1"/>
        <v>0.84835899999999997</v>
      </c>
      <c r="F15" t="str">
        <f t="shared" si="2"/>
        <v>EURDF6M14=.EONIA</v>
      </c>
      <c r="G15">
        <f>[1]!updatequotes(F15,$H$1:$I$1,H15:I15)</f>
        <v>0</v>
      </c>
      <c r="H15" s="7">
        <v>0.27103500000000003</v>
      </c>
      <c r="I15">
        <f t="shared" si="3"/>
        <v>0.27103500000000003</v>
      </c>
      <c r="J15" t="str">
        <f t="shared" si="4"/>
        <v>EURDF3M14=.EONIA</v>
      </c>
      <c r="K15">
        <f>[1]!updatequotes(J15,$L$1:$M$1,L15:M15)</f>
        <v>0</v>
      </c>
      <c r="L15" s="7">
        <v>0.28107100000000002</v>
      </c>
      <c r="M15">
        <f t="shared" si="5"/>
        <v>0.28107100000000002</v>
      </c>
    </row>
    <row r="16" spans="1:13">
      <c r="A16">
        <v>15</v>
      </c>
      <c r="B16" t="str">
        <f t="shared" si="0"/>
        <v>EURDFSTD15=.EONIA</v>
      </c>
      <c r="C16">
        <f>[1]!updatequotes(B16,$D$1:$E$1,D16:E16)</f>
        <v>0</v>
      </c>
      <c r="D16" s="3">
        <v>0.189836</v>
      </c>
      <c r="E16" s="1">
        <f t="shared" si="1"/>
        <v>0.189836</v>
      </c>
      <c r="F16" t="str">
        <f t="shared" si="2"/>
        <v>EURDF6M15=.EONIA</v>
      </c>
      <c r="G16">
        <f>[1]!updatequotes(F16,$H$1:$I$1,H16:I16)</f>
        <v>0</v>
      </c>
      <c r="H16" s="7">
        <v>0.443743</v>
      </c>
      <c r="I16">
        <f t="shared" si="3"/>
        <v>0.443743</v>
      </c>
      <c r="J16" t="str">
        <f t="shared" si="4"/>
        <v>EURDF3M15=.EONIA</v>
      </c>
      <c r="K16">
        <f>[1]!updatequotes(J16,$L$1:$M$1,L16:M16)</f>
        <v>0</v>
      </c>
      <c r="L16" s="7">
        <v>0.38515100000000002</v>
      </c>
      <c r="M16">
        <f t="shared" si="5"/>
        <v>0.38515100000000002</v>
      </c>
    </row>
    <row r="17" spans="1:13">
      <c r="A17">
        <v>16</v>
      </c>
      <c r="B17" t="str">
        <f t="shared" si="0"/>
        <v>EURDFSTD16=.EONIA</v>
      </c>
      <c r="C17">
        <f>[1]!updatequotes(B17,$D$1:$E$1,D17:E17)</f>
        <v>0</v>
      </c>
      <c r="D17" s="3">
        <v>0.45497100000000001</v>
      </c>
      <c r="E17" s="1">
        <f t="shared" si="1"/>
        <v>0.45497100000000001</v>
      </c>
      <c r="F17" t="str">
        <f t="shared" si="2"/>
        <v>EURDF6M16=.EONIA</v>
      </c>
      <c r="G17">
        <f>[1]!updatequotes(F17,$H$1:$I$1,H17:I17)</f>
        <v>0</v>
      </c>
      <c r="H17" s="7">
        <v>8.1824999999999995E-2</v>
      </c>
      <c r="I17">
        <f t="shared" si="3"/>
        <v>8.1824999999999995E-2</v>
      </c>
      <c r="J17" t="str">
        <f t="shared" si="4"/>
        <v>EURDF3M16=.EONIA</v>
      </c>
      <c r="K17">
        <f>[1]!updatequotes(J17,$L$1:$M$1,L17:M17)</f>
        <v>0</v>
      </c>
      <c r="L17" s="7">
        <v>0.90187799999999996</v>
      </c>
      <c r="M17">
        <f t="shared" si="5"/>
        <v>0.90187799999999996</v>
      </c>
    </row>
    <row r="18" spans="1:13">
      <c r="A18">
        <v>17</v>
      </c>
      <c r="B18" t="str">
        <f t="shared" si="0"/>
        <v>EURDFSTD17=.EONIA</v>
      </c>
      <c r="C18">
        <f>[1]!updatequotes(B18,$D$1:$E$1,D18:E18)</f>
        <v>0</v>
      </c>
      <c r="D18" s="4">
        <v>0.82279000000000002</v>
      </c>
      <c r="E18" s="1">
        <f t="shared" si="1"/>
        <v>0.82279000000000002</v>
      </c>
      <c r="F18" t="str">
        <f t="shared" si="2"/>
        <v>EURDF6M17=.EONIA</v>
      </c>
      <c r="G18">
        <f>[1]!updatequotes(F18,$H$1:$I$1,H18:I18)</f>
        <v>0</v>
      </c>
      <c r="H18" s="7">
        <v>0.99142699999999995</v>
      </c>
      <c r="I18">
        <f t="shared" si="3"/>
        <v>0.99142699999999995</v>
      </c>
      <c r="J18" t="str">
        <f t="shared" si="4"/>
        <v>EURDF3M17=.EONIA</v>
      </c>
      <c r="K18">
        <f>[1]!updatequotes(J18,$L$1:$M$1,L18:M18)</f>
        <v>0</v>
      </c>
      <c r="L18" s="7">
        <v>0.51344900000000004</v>
      </c>
      <c r="M18">
        <f t="shared" si="5"/>
        <v>0.51344900000000004</v>
      </c>
    </row>
    <row r="19" spans="1:13">
      <c r="A19">
        <v>18</v>
      </c>
      <c r="B19" t="str">
        <f t="shared" si="0"/>
        <v>EURDFSTD18=.EONIA</v>
      </c>
      <c r="C19">
        <f>[1]!updatequotes(B19,$D$1:$E$1,D19:E19)</f>
        <v>0</v>
      </c>
      <c r="D19" s="3">
        <v>0.54104300000000005</v>
      </c>
      <c r="E19" s="1">
        <f t="shared" si="1"/>
        <v>0.54104300000000005</v>
      </c>
      <c r="F19" t="str">
        <f t="shared" si="2"/>
        <v>EURDF6M18=.EONIA</v>
      </c>
      <c r="G19">
        <f>[1]!updatequotes(F19,$H$1:$I$1,H19:I19)</f>
        <v>0</v>
      </c>
      <c r="H19" s="7">
        <v>0.66192899999999999</v>
      </c>
      <c r="I19">
        <f t="shared" si="3"/>
        <v>0.66192899999999999</v>
      </c>
      <c r="J19" t="str">
        <f t="shared" si="4"/>
        <v>EURDF3M18=.EONIA</v>
      </c>
      <c r="K19">
        <f>[1]!updatequotes(J19,$L$1:$M$1,L19:M19)</f>
        <v>0</v>
      </c>
      <c r="L19" s="7">
        <v>0.85801000000000005</v>
      </c>
      <c r="M19">
        <f t="shared" si="5"/>
        <v>0.85801000000000005</v>
      </c>
    </row>
    <row r="20" spans="1:13">
      <c r="A20">
        <v>19</v>
      </c>
      <c r="B20" t="str">
        <f t="shared" si="0"/>
        <v>EURDFSTD19=.EONIA</v>
      </c>
      <c r="C20">
        <f>[1]!updatequotes(B20,$D$1:$E$1,D20:E20)</f>
        <v>0</v>
      </c>
      <c r="D20" s="3">
        <v>0.23075899999999999</v>
      </c>
      <c r="E20" s="1">
        <f t="shared" si="1"/>
        <v>0.23075899999999999</v>
      </c>
      <c r="F20" t="str">
        <f t="shared" si="2"/>
        <v>EURDF6M19=.EONIA</v>
      </c>
      <c r="G20">
        <f>[1]!updatequotes(F20,$H$1:$I$1,H20:I20)</f>
        <v>0</v>
      </c>
      <c r="H20" s="7">
        <v>0.66718100000000002</v>
      </c>
      <c r="I20">
        <f t="shared" si="3"/>
        <v>0.66718100000000002</v>
      </c>
      <c r="J20" t="str">
        <f t="shared" si="4"/>
        <v>EURDF3M19=.EONIA</v>
      </c>
      <c r="K20">
        <f>[1]!updatequotes(J20,$L$1:$M$1,L20:M20)</f>
        <v>0</v>
      </c>
      <c r="L20" s="7">
        <v>0.44264500000000001</v>
      </c>
      <c r="M20">
        <f t="shared" si="5"/>
        <v>0.44264500000000001</v>
      </c>
    </row>
    <row r="21" spans="1:13">
      <c r="A21">
        <v>20</v>
      </c>
      <c r="B21" t="str">
        <f t="shared" si="0"/>
        <v>EURDFSTD20=.EONIA</v>
      </c>
      <c r="C21">
        <f>[1]!updatequotes(B21,$D$1:$E$1,D21:E21)</f>
        <v>0</v>
      </c>
      <c r="D21" s="3">
        <v>7.8118000000000007E-2</v>
      </c>
      <c r="E21" s="1">
        <f t="shared" si="1"/>
        <v>7.8118000000000007E-2</v>
      </c>
      <c r="F21" t="str">
        <f t="shared" si="2"/>
        <v>EURDF6M20=.EONIA</v>
      </c>
      <c r="G21">
        <f>[1]!updatequotes(F21,$H$1:$I$1,H21:I21)</f>
        <v>0</v>
      </c>
      <c r="H21" s="7">
        <v>0.61135700000000004</v>
      </c>
      <c r="I21">
        <f t="shared" si="3"/>
        <v>0.61135700000000004</v>
      </c>
      <c r="J21" t="str">
        <f t="shared" si="4"/>
        <v>EURDF3M20=.EONIA</v>
      </c>
      <c r="K21">
        <f>[1]!updatequotes(J21,$L$1:$M$1,L21:M21)</f>
        <v>0</v>
      </c>
      <c r="L21" s="7">
        <v>0.102053</v>
      </c>
      <c r="M21">
        <f t="shared" si="5"/>
        <v>0.102053</v>
      </c>
    </row>
    <row r="22" spans="1:13">
      <c r="A22">
        <v>21</v>
      </c>
      <c r="B22" t="str">
        <f t="shared" si="0"/>
        <v>EURDFSTD21=.EONIA</v>
      </c>
      <c r="C22">
        <f>[1]!updatequotes(B22,$D$1:$E$1,D22:E22)</f>
        <v>0</v>
      </c>
      <c r="D22" s="3">
        <v>0.84881600000000001</v>
      </c>
      <c r="E22" s="1">
        <f t="shared" si="1"/>
        <v>0.84881600000000001</v>
      </c>
      <c r="F22" t="str">
        <f t="shared" si="2"/>
        <v>EURDF6M21=.EONIA</v>
      </c>
      <c r="G22">
        <f>[1]!updatequotes(F22,$H$1:$I$1,H22:I22)</f>
        <v>0</v>
      </c>
      <c r="H22" s="7">
        <v>0.361788</v>
      </c>
      <c r="I22">
        <f t="shared" si="3"/>
        <v>0.361788</v>
      </c>
      <c r="J22" t="str">
        <f t="shared" si="4"/>
        <v>EURDF3M21=.EONIA</v>
      </c>
      <c r="K22">
        <f>[1]!updatequotes(J22,$L$1:$M$1,L22:M22)</f>
        <v>0</v>
      </c>
      <c r="L22" s="7">
        <v>0.87007999999999996</v>
      </c>
      <c r="M22">
        <f t="shared" si="5"/>
        <v>0.87007999999999996</v>
      </c>
    </row>
    <row r="23" spans="1:13">
      <c r="A23">
        <v>22</v>
      </c>
      <c r="B23" t="str">
        <f t="shared" si="0"/>
        <v>EURDFSTD22=.EONIA</v>
      </c>
      <c r="C23">
        <f>[1]!updatequotes(B23,$D$1:$E$1,D23:E23)</f>
        <v>0</v>
      </c>
      <c r="D23" s="3">
        <v>0.28711100000000001</v>
      </c>
      <c r="E23" s="1">
        <f t="shared" si="1"/>
        <v>0.28711100000000001</v>
      </c>
      <c r="F23" t="str">
        <f t="shared" si="2"/>
        <v>EURDF6M22=.EONIA</v>
      </c>
      <c r="G23">
        <f>[1]!updatequotes(F23,$H$1:$I$1,H23:I23)</f>
        <v>0</v>
      </c>
      <c r="H23" s="7">
        <v>0.69767000000000001</v>
      </c>
      <c r="I23">
        <f t="shared" si="3"/>
        <v>0.69767000000000001</v>
      </c>
      <c r="J23" t="str">
        <f t="shared" si="4"/>
        <v>EURDF3M22=.EONIA</v>
      </c>
      <c r="K23">
        <f>[1]!updatequotes(J23,$L$1:$M$1,L23:M23)</f>
        <v>0</v>
      </c>
      <c r="L23" s="7">
        <v>5.9299999999999999E-4</v>
      </c>
      <c r="M23">
        <f t="shared" si="5"/>
        <v>5.9299999999999999E-4</v>
      </c>
    </row>
    <row r="24" spans="1:13">
      <c r="A24">
        <v>23</v>
      </c>
      <c r="B24" t="str">
        <f t="shared" si="0"/>
        <v>EURDFSTD23=.EONIA</v>
      </c>
      <c r="C24">
        <f>[1]!updatequotes(B24,$D$1:$E$1,D24:E24)</f>
        <v>0</v>
      </c>
      <c r="D24" s="3">
        <v>0.56455500000000003</v>
      </c>
      <c r="E24" s="1">
        <f t="shared" si="1"/>
        <v>0.56455500000000003</v>
      </c>
      <c r="F24" t="str">
        <f t="shared" si="2"/>
        <v>EURDF6M23=.EONIA</v>
      </c>
      <c r="G24">
        <f>[1]!updatequotes(F24,$H$1:$I$1,H24:I24)</f>
        <v>0</v>
      </c>
      <c r="H24" s="7">
        <v>2.0279999999999999E-3</v>
      </c>
      <c r="I24">
        <f t="shared" si="3"/>
        <v>2.0279999999999999E-3</v>
      </c>
      <c r="J24" t="str">
        <f t="shared" si="4"/>
        <v>EURDF3M23=.EONIA</v>
      </c>
      <c r="K24">
        <f>[1]!updatequotes(J24,$L$1:$M$1,L24:M24)</f>
        <v>0</v>
      </c>
      <c r="L24" s="7">
        <v>0.95281700000000003</v>
      </c>
      <c r="M24">
        <f t="shared" si="5"/>
        <v>0.95281700000000003</v>
      </c>
    </row>
    <row r="25" spans="1:13">
      <c r="A25">
        <v>24</v>
      </c>
      <c r="B25" t="str">
        <f t="shared" si="0"/>
        <v>EURDFSTD24=.EONIA</v>
      </c>
      <c r="C25">
        <f>[1]!updatequotes(B25,$D$1:$E$1,D25:E25)</f>
        <v>0</v>
      </c>
      <c r="D25" s="3">
        <v>0.300564</v>
      </c>
      <c r="E25" s="1">
        <f t="shared" si="1"/>
        <v>0.300564</v>
      </c>
      <c r="F25" t="str">
        <f t="shared" si="2"/>
        <v>EURDF6M24=.EONIA</v>
      </c>
      <c r="G25">
        <f>[1]!updatequotes(F25,$H$1:$I$1,H25:I25)</f>
        <v>0</v>
      </c>
      <c r="H25" s="7">
        <v>0.65512199999999998</v>
      </c>
      <c r="I25">
        <f t="shared" si="3"/>
        <v>0.65512199999999998</v>
      </c>
      <c r="J25" t="str">
        <f t="shared" si="4"/>
        <v>EURDF3M24=.EONIA</v>
      </c>
      <c r="K25">
        <f>[1]!updatequotes(J25,$L$1:$M$1,L25:M25)</f>
        <v>0</v>
      </c>
      <c r="L25" s="7">
        <v>0.52504499999999998</v>
      </c>
      <c r="M25">
        <f t="shared" si="5"/>
        <v>0.52504499999999998</v>
      </c>
    </row>
    <row r="26" spans="1:13">
      <c r="A26">
        <v>25</v>
      </c>
      <c r="B26" t="str">
        <f t="shared" si="0"/>
        <v>EURDFSTD25=.EONIA</v>
      </c>
      <c r="C26">
        <f>[1]!updatequotes(B26,$D$1:$E$1,D26:E26)</f>
        <v>0</v>
      </c>
      <c r="D26" s="3">
        <v>0.431448</v>
      </c>
      <c r="E26" s="1">
        <f t="shared" si="1"/>
        <v>0.431448</v>
      </c>
      <c r="F26" t="str">
        <f t="shared" si="2"/>
        <v>EURDF6M25=.EONIA</v>
      </c>
      <c r="G26">
        <f>[1]!updatequotes(F26,$H$1:$I$1,H26:I26)</f>
        <v>0</v>
      </c>
      <c r="H26" s="7">
        <v>0.75872399999999995</v>
      </c>
      <c r="I26">
        <f t="shared" si="3"/>
        <v>0.75872399999999995</v>
      </c>
      <c r="J26" t="str">
        <f t="shared" si="4"/>
        <v>EURDF3M25=.EONIA</v>
      </c>
      <c r="K26">
        <f>[1]!updatequotes(J26,$L$1:$M$1,L26:M26)</f>
        <v>0</v>
      </c>
      <c r="L26" s="7">
        <v>0.101663</v>
      </c>
      <c r="M26">
        <f t="shared" si="5"/>
        <v>0.101663</v>
      </c>
    </row>
    <row r="27" spans="1:13">
      <c r="A27">
        <v>26</v>
      </c>
      <c r="B27" t="str">
        <f t="shared" si="0"/>
        <v>EURDFSTD26=.EONIA</v>
      </c>
      <c r="C27">
        <f>[1]!updatequotes(B27,$D$1:$E$1,D27:E27)</f>
        <v>0</v>
      </c>
      <c r="D27" s="3">
        <v>0.98325899999999999</v>
      </c>
      <c r="E27" s="1">
        <f t="shared" si="1"/>
        <v>0.98325899999999999</v>
      </c>
      <c r="F27" t="str">
        <f t="shared" si="2"/>
        <v>EURDF6M26=.EONIA</v>
      </c>
      <c r="G27">
        <f>[1]!updatequotes(F27,$H$1:$I$1,H27:I27)</f>
        <v>0</v>
      </c>
      <c r="H27" s="7">
        <v>0.71365800000000001</v>
      </c>
      <c r="I27">
        <f t="shared" si="3"/>
        <v>0.71365800000000001</v>
      </c>
      <c r="J27" t="str">
        <f t="shared" si="4"/>
        <v>EURDF3M26=.EONIA</v>
      </c>
      <c r="K27">
        <f>[1]!updatequotes(J27,$L$1:$M$1,L27:M27)</f>
        <v>0</v>
      </c>
      <c r="L27" s="7">
        <v>0.16678499999999999</v>
      </c>
      <c r="M27">
        <f t="shared" si="5"/>
        <v>0.16678499999999999</v>
      </c>
    </row>
    <row r="28" spans="1:13">
      <c r="A28">
        <v>27</v>
      </c>
      <c r="B28" t="str">
        <f t="shared" si="0"/>
        <v>EURDFSTD27=.EONIA</v>
      </c>
      <c r="C28">
        <f>[1]!updatequotes(B28,$D$1:$E$1,D28:E28)</f>
        <v>0</v>
      </c>
      <c r="D28" s="3">
        <v>3.4026000000000001E-2</v>
      </c>
      <c r="E28" s="1">
        <f t="shared" si="1"/>
        <v>3.4026000000000001E-2</v>
      </c>
      <c r="F28" t="str">
        <f t="shared" si="2"/>
        <v>EURDF6M27=.EONIA</v>
      </c>
      <c r="G28">
        <f>[1]!updatequotes(F28,$H$1:$I$1,H28:I28)</f>
        <v>0</v>
      </c>
      <c r="H28" s="7">
        <v>0.86199499999999996</v>
      </c>
      <c r="I28">
        <f t="shared" si="3"/>
        <v>0.86199499999999996</v>
      </c>
      <c r="J28" t="str">
        <f t="shared" si="4"/>
        <v>EURDF3M27=.EONIA</v>
      </c>
      <c r="K28">
        <f>[1]!updatequotes(J28,$L$1:$M$1,L28:M28)</f>
        <v>0</v>
      </c>
      <c r="L28" s="7">
        <v>0.239312</v>
      </c>
      <c r="M28">
        <f t="shared" si="5"/>
        <v>0.239312</v>
      </c>
    </row>
    <row r="29" spans="1:13">
      <c r="A29">
        <v>28</v>
      </c>
      <c r="B29" t="str">
        <f t="shared" si="0"/>
        <v>EURDFSTD28=.EONIA</v>
      </c>
      <c r="C29">
        <f>[1]!updatequotes(B29,$D$1:$E$1,D29:E29)</f>
        <v>0</v>
      </c>
      <c r="D29" s="3">
        <v>0.42934099999999997</v>
      </c>
      <c r="E29" s="1">
        <f t="shared" si="1"/>
        <v>0.42934099999999997</v>
      </c>
      <c r="F29" t="str">
        <f t="shared" si="2"/>
        <v>EURDF6M28=.EONIA</v>
      </c>
      <c r="G29">
        <f>[1]!updatequotes(F29,$H$1:$I$1,H29:I29)</f>
        <v>0</v>
      </c>
      <c r="H29" s="7">
        <v>0.120963</v>
      </c>
      <c r="I29">
        <f t="shared" si="3"/>
        <v>0.120963</v>
      </c>
      <c r="J29" t="str">
        <f t="shared" si="4"/>
        <v>EURDF3M28=.EONIA</v>
      </c>
      <c r="K29">
        <f>[1]!updatequotes(J29,$L$1:$M$1,L29:M29)</f>
        <v>0</v>
      </c>
      <c r="L29" s="7">
        <v>0.51467499999999999</v>
      </c>
      <c r="M29">
        <f t="shared" si="5"/>
        <v>0.51467499999999999</v>
      </c>
    </row>
    <row r="30" spans="1:13">
      <c r="A30">
        <v>29</v>
      </c>
      <c r="B30" t="str">
        <f t="shared" si="0"/>
        <v>EURDFSTD29=.EONIA</v>
      </c>
      <c r="C30">
        <f>[1]!updatequotes(B30,$D$1:$E$1,D30:E30)</f>
        <v>0</v>
      </c>
      <c r="D30" s="3">
        <v>8.0397999999999997E-2</v>
      </c>
      <c r="E30" s="1">
        <f t="shared" si="1"/>
        <v>8.0397999999999997E-2</v>
      </c>
      <c r="F30" t="str">
        <f t="shared" si="2"/>
        <v>EURDF6M29=.EONIA</v>
      </c>
      <c r="G30">
        <f>[1]!updatequotes(F30,$H$1:$I$1,H30:I30)</f>
        <v>0</v>
      </c>
      <c r="H30" s="6">
        <v>0.94151099999999999</v>
      </c>
      <c r="I30">
        <f t="shared" si="3"/>
        <v>0.94151099999999999</v>
      </c>
      <c r="J30" t="str">
        <f t="shared" si="4"/>
        <v>EURDF3M29=.EONIA</v>
      </c>
      <c r="K30">
        <f>[1]!updatequotes(J30,$L$1:$M$1,L30:M30)</f>
        <v>0</v>
      </c>
      <c r="L30" s="7">
        <v>0.46089000000000002</v>
      </c>
      <c r="M30">
        <f t="shared" si="5"/>
        <v>0.46089000000000002</v>
      </c>
    </row>
    <row r="31" spans="1:13">
      <c r="A31">
        <v>30</v>
      </c>
      <c r="B31" t="str">
        <f t="shared" si="0"/>
        <v>EURDFSTD30=.EONIA</v>
      </c>
      <c r="C31">
        <f>[1]!updatequotes(B31,$D$1:$E$1,D31:E31)</f>
        <v>0</v>
      </c>
      <c r="D31" s="3">
        <v>0.16867499999999999</v>
      </c>
      <c r="E31" s="1">
        <f t="shared" si="1"/>
        <v>0.16867499999999999</v>
      </c>
      <c r="F31" t="str">
        <f t="shared" si="2"/>
        <v>EURDF6M30=.EONIA</v>
      </c>
      <c r="G31">
        <f>[1]!updatequotes(F31,$H$1:$I$1,H31:I31)</f>
        <v>0</v>
      </c>
      <c r="H31" s="7">
        <v>0.81555500000000003</v>
      </c>
      <c r="I31">
        <f t="shared" si="3"/>
        <v>0.81555500000000003</v>
      </c>
      <c r="J31" t="str">
        <f t="shared" si="4"/>
        <v>EURDF3M30=.EONIA</v>
      </c>
      <c r="K31">
        <f>[1]!updatequotes(J31,$L$1:$M$1,L31:M31)</f>
        <v>0</v>
      </c>
      <c r="L31" s="7">
        <v>0.19733500000000001</v>
      </c>
      <c r="M31">
        <f t="shared" si="5"/>
        <v>0.19733500000000001</v>
      </c>
    </row>
    <row r="32" spans="1:13">
      <c r="A32">
        <v>31</v>
      </c>
      <c r="B32" t="str">
        <f t="shared" si="0"/>
        <v>EURDFSTD31=.EONIA</v>
      </c>
      <c r="C32">
        <f>[1]!updatequotes(B32,$D$1:$E$1,D32:E32)</f>
        <v>0</v>
      </c>
      <c r="D32" s="3">
        <v>0.9466</v>
      </c>
      <c r="E32" s="1">
        <f t="shared" si="1"/>
        <v>0.9466</v>
      </c>
      <c r="F32" t="str">
        <f t="shared" si="2"/>
        <v>EURDF6M31=.EONIA</v>
      </c>
      <c r="G32">
        <f>[1]!updatequotes(F32,$H$1:$I$1,H32:I32)</f>
        <v>0</v>
      </c>
      <c r="H32" s="7">
        <v>0.73015099999999999</v>
      </c>
      <c r="I32">
        <f t="shared" si="3"/>
        <v>0.73015099999999999</v>
      </c>
      <c r="J32" t="str">
        <f t="shared" si="4"/>
        <v>EURDF3M31=.EONIA</v>
      </c>
      <c r="K32">
        <f>[1]!updatequotes(J32,$L$1:$M$1,L32:M32)</f>
        <v>0</v>
      </c>
      <c r="L32" s="7">
        <v>0.64994499999999999</v>
      </c>
      <c r="M32">
        <f t="shared" si="5"/>
        <v>0.64994499999999999</v>
      </c>
    </row>
    <row r="33" spans="1:13">
      <c r="A33">
        <v>32</v>
      </c>
      <c r="B33" t="str">
        <f t="shared" si="0"/>
        <v>EURDFSTD32=.EONIA</v>
      </c>
      <c r="C33">
        <f>[1]!updatequotes(B33,$D$1:$E$1,D33:E33)</f>
        <v>0</v>
      </c>
      <c r="D33" s="4">
        <v>0.96040899999999996</v>
      </c>
      <c r="E33" s="1">
        <f t="shared" si="1"/>
        <v>0.96040899999999996</v>
      </c>
      <c r="F33" t="str">
        <f t="shared" si="2"/>
        <v>EURDF6M32=.EONIA</v>
      </c>
      <c r="G33">
        <f>[1]!updatequotes(F33,$H$1:$I$1,H33:I33)</f>
        <v>0</v>
      </c>
      <c r="H33" s="7">
        <v>0.94710899999999998</v>
      </c>
      <c r="I33">
        <f t="shared" si="3"/>
        <v>0.94710899999999998</v>
      </c>
      <c r="J33" t="str">
        <f t="shared" si="4"/>
        <v>EURDF3M32=.EONIA</v>
      </c>
      <c r="K33">
        <f>[1]!updatequotes(J33,$L$1:$M$1,L33:M33)</f>
        <v>0</v>
      </c>
      <c r="L33" s="7">
        <v>0.529532</v>
      </c>
      <c r="M33">
        <f t="shared" si="5"/>
        <v>0.529532</v>
      </c>
    </row>
    <row r="34" spans="1:13">
      <c r="A34">
        <v>33</v>
      </c>
      <c r="B34" t="str">
        <f t="shared" si="0"/>
        <v>EURDFSTD33=.EONIA</v>
      </c>
      <c r="C34">
        <f>[1]!updatequotes(B34,$D$1:$E$1,D34:E34)</f>
        <v>0</v>
      </c>
      <c r="D34" s="3">
        <v>0.54965200000000003</v>
      </c>
      <c r="E34" s="1">
        <f t="shared" si="1"/>
        <v>0.54965200000000003</v>
      </c>
      <c r="F34" t="str">
        <f t="shared" si="2"/>
        <v>EURDF6M33=.EONIA</v>
      </c>
      <c r="G34">
        <f>[1]!updatequotes(F34,$H$1:$I$1,H34:I34)</f>
        <v>0</v>
      </c>
      <c r="H34" s="7">
        <v>0.54627700000000001</v>
      </c>
      <c r="I34">
        <f t="shared" si="3"/>
        <v>0.54627700000000001</v>
      </c>
      <c r="J34" t="str">
        <f t="shared" si="4"/>
        <v>EURDF3M33=.EONIA</v>
      </c>
      <c r="K34">
        <f>[1]!updatequotes(J34,$L$1:$M$1,L34:M34)</f>
        <v>0</v>
      </c>
      <c r="L34" s="7">
        <v>0.74356900000000004</v>
      </c>
      <c r="M34">
        <f t="shared" si="5"/>
        <v>0.74356900000000004</v>
      </c>
    </row>
    <row r="35" spans="1:13">
      <c r="A35">
        <v>34</v>
      </c>
      <c r="B35" t="str">
        <f t="shared" si="0"/>
        <v>EURDFSTD34=.EONIA</v>
      </c>
      <c r="C35">
        <f>[1]!updatequotes(B35,$D$1:$E$1,D35:E35)</f>
        <v>0</v>
      </c>
      <c r="D35" s="3">
        <v>8.0783999999999995E-2</v>
      </c>
      <c r="E35" s="1">
        <f t="shared" si="1"/>
        <v>8.0783999999999995E-2</v>
      </c>
      <c r="F35" t="str">
        <f t="shared" si="2"/>
        <v>EURDF6M34=.EONIA</v>
      </c>
      <c r="G35">
        <f>[1]!updatequotes(F35,$H$1:$I$1,H35:I35)</f>
        <v>0</v>
      </c>
      <c r="H35" s="7">
        <v>0.17343</v>
      </c>
      <c r="I35">
        <f t="shared" si="3"/>
        <v>0.17343</v>
      </c>
      <c r="J35" t="str">
        <f t="shared" si="4"/>
        <v>EURDF3M34=.EONIA</v>
      </c>
      <c r="K35">
        <f>[1]!updatequotes(J35,$L$1:$M$1,L35:M35)</f>
        <v>0</v>
      </c>
      <c r="L35" s="7">
        <v>0.35905599999999999</v>
      </c>
      <c r="M35">
        <f t="shared" si="5"/>
        <v>0.35905599999999999</v>
      </c>
    </row>
    <row r="36" spans="1:13">
      <c r="A36">
        <v>35</v>
      </c>
      <c r="B36" t="str">
        <f t="shared" si="0"/>
        <v>EURDFSTD35=.EONIA</v>
      </c>
      <c r="C36">
        <f>[1]!updatequotes(B36,$D$1:$E$1,D36:E36)</f>
        <v>0</v>
      </c>
      <c r="D36" s="3">
        <v>0.81585200000000002</v>
      </c>
      <c r="E36" s="1">
        <f t="shared" si="1"/>
        <v>0.81585200000000002</v>
      </c>
      <c r="F36" t="str">
        <f t="shared" si="2"/>
        <v>EURDF6M35=.EONIA</v>
      </c>
      <c r="G36">
        <f>[1]!updatequotes(F36,$H$1:$I$1,H36:I36)</f>
        <v>0</v>
      </c>
      <c r="H36" s="7">
        <v>0.27051500000000001</v>
      </c>
      <c r="I36">
        <f t="shared" si="3"/>
        <v>0.27051500000000001</v>
      </c>
      <c r="J36" t="str">
        <f t="shared" si="4"/>
        <v>EURDF3M35=.EONIA</v>
      </c>
      <c r="K36">
        <f>[1]!updatequotes(J36,$L$1:$M$1,L36:M36)</f>
        <v>0</v>
      </c>
      <c r="L36" s="7">
        <v>0.64524300000000001</v>
      </c>
      <c r="M36">
        <f t="shared" si="5"/>
        <v>0.64524300000000001</v>
      </c>
    </row>
    <row r="37" spans="1:13">
      <c r="A37">
        <v>36</v>
      </c>
      <c r="F37" t="str">
        <f>CONCATENATE("EURDF6M",A37,"=.EONIA")</f>
        <v>EURDF6M36=.EONIA</v>
      </c>
      <c r="G37">
        <f>[1]!updatequotes(F37,$H$1:$I$1,H37:I37)</f>
        <v>0</v>
      </c>
      <c r="H37" s="7">
        <v>0.96575500000000003</v>
      </c>
      <c r="I37">
        <f t="shared" si="3"/>
        <v>0.96575500000000003</v>
      </c>
      <c r="J37" t="str">
        <f t="shared" si="4"/>
        <v>EURDF3M36=.EONIA</v>
      </c>
      <c r="K37">
        <f>[1]!updatequotes(J37,$L$1:$M$1,L37:M37)</f>
        <v>0</v>
      </c>
      <c r="L37" s="7">
        <v>0.508266</v>
      </c>
      <c r="M37">
        <f t="shared" si="5"/>
        <v>0.508266</v>
      </c>
    </row>
    <row r="38" spans="1:13">
      <c r="A38">
        <v>37</v>
      </c>
      <c r="F38" t="str">
        <f t="shared" si="2"/>
        <v>EURDF6M37=.EONIA</v>
      </c>
      <c r="G38">
        <f>[1]!updatequotes(F38,$H$1:$I$1,H38:I38)</f>
        <v>0</v>
      </c>
      <c r="H38" s="7">
        <v>0.925732</v>
      </c>
      <c r="I38">
        <f t="shared" si="3"/>
        <v>0.925732</v>
      </c>
      <c r="J38" t="str">
        <f t="shared" si="4"/>
        <v>EURDF3M37=.EONIA</v>
      </c>
      <c r="K38">
        <f>[1]!updatequotes(J38,$L$1:$M$1,L38:M38)</f>
        <v>0</v>
      </c>
      <c r="L38" s="7">
        <v>0.77074600000000004</v>
      </c>
      <c r="M38">
        <f t="shared" si="5"/>
        <v>0.77074600000000004</v>
      </c>
    </row>
    <row r="39" spans="1:13">
      <c r="A39">
        <v>38</v>
      </c>
      <c r="F39" t="str">
        <f t="shared" si="2"/>
        <v>EURDF6M38=.EONIA</v>
      </c>
      <c r="G39">
        <f>[1]!updatequotes(F39,$H$1:$I$1,H39:I39)</f>
        <v>0</v>
      </c>
      <c r="H39" s="7">
        <v>0.58987599999999996</v>
      </c>
      <c r="I39">
        <f t="shared" si="3"/>
        <v>0.58987599999999996</v>
      </c>
      <c r="J39" t="str">
        <f t="shared" si="4"/>
        <v>EURDF3M38=.EONIA</v>
      </c>
      <c r="K39">
        <f>[1]!updatequotes(J39,$L$1:$M$1,L39:M39)</f>
        <v>0</v>
      </c>
      <c r="L39" s="7">
        <v>6.2605999999999995E-2</v>
      </c>
      <c r="M39">
        <f t="shared" si="5"/>
        <v>6.2605999999999995E-2</v>
      </c>
    </row>
    <row r="40" spans="1:13">
      <c r="A40">
        <v>39</v>
      </c>
      <c r="F40" t="str">
        <f t="shared" si="2"/>
        <v>EURDF6M39=.EONIA</v>
      </c>
      <c r="G40">
        <f>[1]!updatequotes(F40,$H$1:$I$1,H40:I40)</f>
        <v>0</v>
      </c>
      <c r="H40" s="7">
        <v>0.87204400000000004</v>
      </c>
      <c r="I40">
        <f t="shared" si="3"/>
        <v>0.87204400000000004</v>
      </c>
      <c r="J40" t="str">
        <f t="shared" si="4"/>
        <v>EURDF3M39=.EONIA</v>
      </c>
      <c r="K40">
        <f>[1]!updatequotes(J40,$L$1:$M$1,L40:M40)</f>
        <v>0</v>
      </c>
      <c r="L40" s="6">
        <v>0.74708300000000005</v>
      </c>
      <c r="M40">
        <f t="shared" si="5"/>
        <v>0.74708300000000005</v>
      </c>
    </row>
    <row r="41" spans="1:13">
      <c r="A41">
        <v>40</v>
      </c>
      <c r="F41" t="str">
        <f t="shared" si="2"/>
        <v>EURDF6M40=.EONIA</v>
      </c>
      <c r="G41">
        <f>[1]!updatequotes(F41,$H$1:$I$1,H41:I41)</f>
        <v>0</v>
      </c>
      <c r="H41" s="7">
        <v>0.33962199999999998</v>
      </c>
      <c r="I41">
        <f t="shared" si="3"/>
        <v>0.33962199999999998</v>
      </c>
      <c r="J41" t="str">
        <f t="shared" si="4"/>
        <v>EURDF3M40=.EONIA</v>
      </c>
      <c r="K41">
        <f>[1]!updatequotes(J41,$L$1:$M$1,L41:M41)</f>
        <v>0</v>
      </c>
      <c r="L41" s="5">
        <v>0.667821</v>
      </c>
      <c r="M41">
        <f t="shared" si="5"/>
        <v>0.667821</v>
      </c>
    </row>
    <row r="42" spans="1:13">
      <c r="A42">
        <v>41</v>
      </c>
      <c r="F42" t="str">
        <f t="shared" si="2"/>
        <v>EURDF6M41=.EONIA</v>
      </c>
      <c r="G42">
        <f>[1]!updatequotes(F42,$H$1:$I$1,H42:I42)</f>
        <v>0</v>
      </c>
      <c r="H42" s="7">
        <v>0.53054100000000004</v>
      </c>
      <c r="I42">
        <f t="shared" si="3"/>
        <v>0.53054100000000004</v>
      </c>
    </row>
    <row r="43" spans="1:13">
      <c r="A43">
        <v>42</v>
      </c>
      <c r="F43" t="str">
        <f t="shared" si="2"/>
        <v>EURDF6M42=.EONIA</v>
      </c>
      <c r="G43">
        <f>[1]!updatequotes(F43,$H$1:$I$1,H43:I43)</f>
        <v>0</v>
      </c>
      <c r="H43" s="7">
        <v>0.807056</v>
      </c>
      <c r="I43">
        <f t="shared" si="3"/>
        <v>0.807056</v>
      </c>
    </row>
    <row r="44" spans="1:13">
      <c r="A44">
        <v>43</v>
      </c>
      <c r="F44" t="str">
        <f t="shared" si="2"/>
        <v>EURDF6M43=.EONIA</v>
      </c>
      <c r="G44">
        <f>[1]!updatequotes(F44,$H$1:$I$1,H44:I44)</f>
        <v>0</v>
      </c>
      <c r="H44" s="7">
        <v>0.68267599999999995</v>
      </c>
      <c r="I44">
        <f t="shared" si="3"/>
        <v>0.68267599999999995</v>
      </c>
    </row>
    <row r="45" spans="1:13">
      <c r="A45">
        <v>44</v>
      </c>
      <c r="F45" t="str">
        <f t="shared" si="2"/>
        <v>EURDF6M44=.EONIA</v>
      </c>
      <c r="G45">
        <f>[1]!updatequotes(F45,$H$1:$I$1,H45:I45)</f>
        <v>0</v>
      </c>
      <c r="H45" s="7">
        <v>0.58690900000000001</v>
      </c>
      <c r="I45">
        <f t="shared" si="3"/>
        <v>0.58690900000000001</v>
      </c>
    </row>
    <row r="46" spans="1:13">
      <c r="A46">
        <v>45</v>
      </c>
      <c r="F46" t="str">
        <f t="shared" si="2"/>
        <v>EURDF6M45=.EONIA</v>
      </c>
      <c r="G46">
        <f>[1]!updatequotes(F46,$H$1:$I$1,H46:I46)</f>
        <v>0</v>
      </c>
      <c r="H46" s="7">
        <v>0.96606199999999998</v>
      </c>
      <c r="I46">
        <f t="shared" si="3"/>
        <v>0.96606199999999998</v>
      </c>
    </row>
    <row r="47" spans="1:13">
      <c r="A47">
        <v>46</v>
      </c>
      <c r="F47" t="str">
        <f t="shared" si="2"/>
        <v>EURDF6M46=.EONIA</v>
      </c>
      <c r="G47">
        <f>[1]!updatequotes(F47,$H$1:$I$1,H47:I47)</f>
        <v>0</v>
      </c>
      <c r="H47" s="7">
        <v>0.99152799999999996</v>
      </c>
      <c r="I47">
        <f t="shared" si="3"/>
        <v>0.99152799999999996</v>
      </c>
    </row>
    <row r="48" spans="1:13">
      <c r="A48">
        <v>47</v>
      </c>
      <c r="F48" t="str">
        <f t="shared" si="2"/>
        <v>EURDF6M47=.EONIA</v>
      </c>
      <c r="G48">
        <f>[1]!updatequotes(F48,$H$1:$I$1,H48:I48)</f>
        <v>0</v>
      </c>
      <c r="H48" s="7">
        <v>0.88512299999999999</v>
      </c>
      <c r="I48">
        <f t="shared" si="3"/>
        <v>0.88512299999999999</v>
      </c>
    </row>
    <row r="49" spans="1:9">
      <c r="A49">
        <v>48</v>
      </c>
      <c r="F49" t="str">
        <f t="shared" si="2"/>
        <v>EURDF6M48=.EONIA</v>
      </c>
      <c r="G49">
        <f>[1]!updatequotes(F49,$H$1:$I$1,H49:I49)</f>
        <v>0</v>
      </c>
      <c r="H49" s="7">
        <v>0.13711300000000001</v>
      </c>
      <c r="I49">
        <f t="shared" si="3"/>
        <v>0.13711300000000001</v>
      </c>
    </row>
    <row r="50" spans="1:9">
      <c r="A50">
        <v>49</v>
      </c>
      <c r="F50" t="str">
        <f t="shared" si="2"/>
        <v>EURDF6M49=.EONIA</v>
      </c>
      <c r="G50">
        <f>[1]!updatequotes(F50,$H$1:$I$1,H50:I50)</f>
        <v>0</v>
      </c>
      <c r="H50" s="7">
        <v>0.26739200000000002</v>
      </c>
      <c r="I50">
        <f t="shared" si="3"/>
        <v>0.26739200000000002</v>
      </c>
    </row>
    <row r="51" spans="1:9">
      <c r="A51">
        <v>50</v>
      </c>
      <c r="F51" t="str">
        <f t="shared" si="2"/>
        <v>EURDF6M50=.EONIA</v>
      </c>
      <c r="G51">
        <f>[1]!updatequotes(F51,$H$1:$I$1,H51:I51)</f>
        <v>0</v>
      </c>
      <c r="H51" s="5">
        <v>0.221942</v>
      </c>
      <c r="I51">
        <f t="shared" si="3"/>
        <v>0.221942</v>
      </c>
    </row>
    <row r="52" spans="1:9">
      <c r="A52">
        <v>51</v>
      </c>
    </row>
    <row r="53" spans="1:9">
      <c r="A53">
        <v>52</v>
      </c>
    </row>
    <row r="54" spans="1:9">
      <c r="A54">
        <v>53</v>
      </c>
    </row>
    <row r="55" spans="1:9">
      <c r="A55">
        <v>54</v>
      </c>
    </row>
    <row r="56" spans="1:9">
      <c r="A56">
        <v>55</v>
      </c>
    </row>
    <row r="57" spans="1:9">
      <c r="A57">
        <v>56</v>
      </c>
    </row>
    <row r="58" spans="1:9">
      <c r="A58">
        <v>57</v>
      </c>
    </row>
    <row r="59" spans="1:9">
      <c r="A59">
        <v>58</v>
      </c>
    </row>
    <row r="60" spans="1:9">
      <c r="A60">
        <v>59</v>
      </c>
    </row>
    <row r="61" spans="1:9">
      <c r="A61">
        <v>60</v>
      </c>
    </row>
    <row r="62" spans="1:9">
      <c r="A62">
        <v>61</v>
      </c>
    </row>
    <row r="63" spans="1:9">
      <c r="A63">
        <v>62</v>
      </c>
    </row>
    <row r="64" spans="1:9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1">
      <c r="A97">
        <v>96</v>
      </c>
    </row>
    <row r="98" spans="1:1">
      <c r="A98">
        <v>97</v>
      </c>
    </row>
    <row r="99" spans="1:1">
      <c r="A99">
        <v>98</v>
      </c>
    </row>
    <row r="100" spans="1:1">
      <c r="A100">
        <v>99</v>
      </c>
    </row>
    <row r="101" spans="1:1">
      <c r="A10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Sheet1 (2)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2014-12-15T14:24:37Z</dcterms:created>
  <dcterms:modified xsi:type="dcterms:W3CDTF">2014-12-17T14:40:49Z</dcterms:modified>
</cp:coreProperties>
</file>